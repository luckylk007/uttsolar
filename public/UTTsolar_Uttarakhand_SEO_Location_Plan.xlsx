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EO Location Plan" sheetId="1" state="visible" r:id="rId1"/>
    <sheet name="District Summary" sheetId="2" state="visible" r:id="rId2"/>
    <sheet name="Priority Guide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<sst xmlns="http://schemas.openxmlformats.org/spreadsheetml/2006/main" count="441" uniqueCount="441">
  <si>
    <t xml:space="preserve">UTTsolar – Uttarakhand SEO Location Page Plan</t>
  </si>
  <si>
    <t xml:space="preserve">99 recommended city/town landing pages across all 13 Uttarakhand districts. Priorities are strategic rollout recommendations, not measured search-volume data.</t>
  </si>
  <si>
    <t>No.</t>
  </si>
  <si>
    <t>District</t>
  </si>
  <si>
    <t xml:space="preserve">City / Town</t>
  </si>
  <si>
    <t xml:space="preserve">SEO Priority</t>
  </si>
  <si>
    <t xml:space="preserve">Recommended URL Slug</t>
  </si>
  <si>
    <t xml:space="preserve">Suggested H1</t>
  </si>
  <si>
    <t xml:space="preserve">Primary Keyword</t>
  </si>
  <si>
    <t xml:space="preserve">Reference URL</t>
  </si>
  <si>
    <t>Nainital</t>
  </si>
  <si>
    <t>Haldwani</t>
  </si>
  <si>
    <t>High</t>
  </si>
  <si>
    <t>/locations/nainital/solar-company-in-haldwani/</t>
  </si>
  <si>
    <t xml:space="preserve">Solar Company in Haldwani</t>
  </si>
  <si>
    <t xml:space="preserve">solar company in haldwani</t>
  </si>
  <si>
    <t>https:/https://uttsolar.in/locations</t>
  </si>
  <si>
    <t>/locations/nainital/solar-company-in-nainital/</t>
  </si>
  <si>
    <t xml:space="preserve">Solar Company in Nainital</t>
  </si>
  <si>
    <t xml:space="preserve">solar company in nainital</t>
  </si>
  <si>
    <t>https://https://uttsolar.in/locations</t>
  </si>
  <si>
    <t>Ramnagar</t>
  </si>
  <si>
    <t>/locations/nainital/solar-company-in-ramnagar/</t>
  </si>
  <si>
    <t xml:space="preserve">Solar Company in Ramnagar</t>
  </si>
  <si>
    <t xml:space="preserve">solar company in ramnagar</t>
  </si>
  <si>
    <t>Kathgodam</t>
  </si>
  <si>
    <t>/locations/nainital/solar-company-in-kathgodam/</t>
  </si>
  <si>
    <t xml:space="preserve">Solar Company in Kathgodam</t>
  </si>
  <si>
    <t xml:space="preserve">solar company in kathgodam</t>
  </si>
  <si>
    <t>Bhimtal</t>
  </si>
  <si>
    <t>/locations/nainital/solar-company-in-bhimtal/</t>
  </si>
  <si>
    <t xml:space="preserve">Solar Company in Bhimtal</t>
  </si>
  <si>
    <t xml:space="preserve">solar company in bhimtal</t>
  </si>
  <si>
    <t>Lalkuan</t>
  </si>
  <si>
    <t>Medium</t>
  </si>
  <si>
    <t>/locations/nainital/solar-company-in-lalkuan/</t>
  </si>
  <si>
    <t xml:space="preserve">Solar Company in Lalkuan</t>
  </si>
  <si>
    <t xml:space="preserve">solar company in lalkuan</t>
  </si>
  <si>
    <t>Kaladhungi</t>
  </si>
  <si>
    <t>/locations/nainital/solar-company-in-kaladhungi/</t>
  </si>
  <si>
    <t xml:space="preserve">Solar Company in Kaladhungi</t>
  </si>
  <si>
    <t xml:space="preserve">solar company in kaladhungi</t>
  </si>
  <si>
    <t>Bhowali</t>
  </si>
  <si>
    <t>/locations/nainital/solar-company-in-bhowali/</t>
  </si>
  <si>
    <t xml:space="preserve">Solar Company in Bhowali</t>
  </si>
  <si>
    <t xml:space="preserve">solar company in bhowali</t>
  </si>
  <si>
    <t>Dehradun</t>
  </si>
  <si>
    <t>/locations/dehradun/solar-company-in-dehradun/</t>
  </si>
  <si>
    <t xml:space="preserve">Solar Company in Dehradun</t>
  </si>
  <si>
    <t xml:space="preserve">solar company in dehradun</t>
  </si>
  <si>
    <t>Rishikesh</t>
  </si>
  <si>
    <t>/locations/dehradun/solar-company-in-rishikesh/</t>
  </si>
  <si>
    <t xml:space="preserve">Solar Company in Rishikesh</t>
  </si>
  <si>
    <t xml:space="preserve">solar company in rishikesh</t>
  </si>
  <si>
    <t>Vikasnagar</t>
  </si>
  <si>
    <t>/locations/dehradun/solar-company-in-vikasnagar/</t>
  </si>
  <si>
    <t xml:space="preserve">Solar Company in Vikasnagar</t>
  </si>
  <si>
    <t xml:space="preserve">solar company in vikasnagar</t>
  </si>
  <si>
    <t>Doiwala</t>
  </si>
  <si>
    <t>/locations/dehradun/solar-company-in-doiwala/</t>
  </si>
  <si>
    <t xml:space="preserve">Solar Company in Doiwala</t>
  </si>
  <si>
    <t xml:space="preserve">solar company in doiwala</t>
  </si>
  <si>
    <t>Mussoorie</t>
  </si>
  <si>
    <t>/locations/dehradun/solar-company-in-mussoorie/</t>
  </si>
  <si>
    <t xml:space="preserve">Solar Company in Mussoorie</t>
  </si>
  <si>
    <t xml:space="preserve">solar company in mussoorie</t>
  </si>
  <si>
    <t>Selakui</t>
  </si>
  <si>
    <t>/locations/dehradun/solar-company-in-selakui/</t>
  </si>
  <si>
    <t xml:space="preserve">Solar Company in Selakui</t>
  </si>
  <si>
    <t xml:space="preserve">solar company in selakui</t>
  </si>
  <si>
    <t>Sahaspur</t>
  </si>
  <si>
    <t>/locations/dehradun/solar-company-in-sahaspur/</t>
  </si>
  <si>
    <t xml:space="preserve">Solar Company in Sahaspur</t>
  </si>
  <si>
    <t xml:space="preserve">solar company in sahaspur</t>
  </si>
  <si>
    <t>Herbertpur</t>
  </si>
  <si>
    <t>/locations/dehradun/solar-company-in-herbertpur/</t>
  </si>
  <si>
    <t xml:space="preserve">Solar Company in Herbertpur</t>
  </si>
  <si>
    <t xml:space="preserve">solar company in herbertpur</t>
  </si>
  <si>
    <t>Haridwar</t>
  </si>
  <si>
    <t>/locations/haridwar/solar-company-in-haridwar/</t>
  </si>
  <si>
    <t xml:space="preserve">Solar Company in Haridwar</t>
  </si>
  <si>
    <t xml:space="preserve">solar company in haridwar</t>
  </si>
  <si>
    <t>Roorkee</t>
  </si>
  <si>
    <t>/locations/haridwar/solar-company-in-roorkee/</t>
  </si>
  <si>
    <t xml:space="preserve">Solar Company in Roorkee</t>
  </si>
  <si>
    <t xml:space="preserve">solar company in roorkee</t>
  </si>
  <si>
    <t>Laksar</t>
  </si>
  <si>
    <t>/locations/haridwar/solar-company-in-laksar/</t>
  </si>
  <si>
    <t xml:space="preserve">Solar Company in Laksar</t>
  </si>
  <si>
    <t xml:space="preserve">solar company in laksar</t>
  </si>
  <si>
    <t>Manglaur</t>
  </si>
  <si>
    <t>/locations/haridwar/solar-company-in-manglaur/</t>
  </si>
  <si>
    <t xml:space="preserve">Solar Company in Manglaur</t>
  </si>
  <si>
    <t xml:space="preserve">solar company in manglaur</t>
  </si>
  <si>
    <t>Bhagwanpur</t>
  </si>
  <si>
    <t>/locations/haridwar/solar-company-in-bhagwanpur/</t>
  </si>
  <si>
    <t xml:space="preserve">Solar Company in Bhagwanpur</t>
  </si>
  <si>
    <t xml:space="preserve">solar company in bhagwanpur</t>
  </si>
  <si>
    <t>Jhabrera</t>
  </si>
  <si>
    <t>/locations/haridwar/solar-company-in-jhabrera/</t>
  </si>
  <si>
    <t xml:space="preserve">Solar Company in Jhabrera</t>
  </si>
  <si>
    <t xml:space="preserve">solar company in jhabrera</t>
  </si>
  <si>
    <t>Bahadrabad</t>
  </si>
  <si>
    <t>/locations/haridwar/solar-company-in-bahadrabad/</t>
  </si>
  <si>
    <t xml:space="preserve">Solar Company in Bahadrabad</t>
  </si>
  <si>
    <t xml:space="preserve">solar company in bahadrabad</t>
  </si>
  <si>
    <t xml:space="preserve">Piran Kaliyar</t>
  </si>
  <si>
    <t>/locations/haridwar/solar-company-in-piran-kaliyar/</t>
  </si>
  <si>
    <t xml:space="preserve">Solar Company in Piran Kaliyar</t>
  </si>
  <si>
    <t xml:space="preserve">solar company in piran kaliyar</t>
  </si>
  <si>
    <t xml:space="preserve">Udham Singh Nagar</t>
  </si>
  <si>
    <t>Rudrapur</t>
  </si>
  <si>
    <t>/locations/udham-singh-nagar/solar-company-in-rudrapur/</t>
  </si>
  <si>
    <t xml:space="preserve">Solar Company in Rudrapur</t>
  </si>
  <si>
    <t xml:space="preserve">solar company in rudrapur</t>
  </si>
  <si>
    <t>Kashipur</t>
  </si>
  <si>
    <t>/locations/udham-singh-nagar/solar-company-in-kashipur/</t>
  </si>
  <si>
    <t xml:space="preserve">Solar Company in Kashipur</t>
  </si>
  <si>
    <t xml:space="preserve">solar company in kashipur</t>
  </si>
  <si>
    <t>Khatima</t>
  </si>
  <si>
    <t>/locations/udham-singh-nagar/solar-company-in-khatima/</t>
  </si>
  <si>
    <t xml:space="preserve">Solar Company in Khatima</t>
  </si>
  <si>
    <t xml:space="preserve">solar company in khatima</t>
  </si>
  <si>
    <t>Sitarganj</t>
  </si>
  <si>
    <t>/locations/udham-singh-nagar/solar-company-in-sitarganj/</t>
  </si>
  <si>
    <t xml:space="preserve">Solar Company in Sitarganj</t>
  </si>
  <si>
    <t xml:space="preserve">solar company in sitarganj</t>
  </si>
  <si>
    <t>Kichha</t>
  </si>
  <si>
    <t>/locations/udham-singh-nagar/solar-company-in-kichha/</t>
  </si>
  <si>
    <t xml:space="preserve">Solar Company in Kichha</t>
  </si>
  <si>
    <t xml:space="preserve">solar company in kichha</t>
  </si>
  <si>
    <t>Bazpur</t>
  </si>
  <si>
    <t>/locations/udham-singh-nagar/solar-company-in-bazpur/</t>
  </si>
  <si>
    <t xml:space="preserve">Solar Company in Bazpur</t>
  </si>
  <si>
    <t xml:space="preserve">solar company in bazpur</t>
  </si>
  <si>
    <t>Gadarpur</t>
  </si>
  <si>
    <t>/locations/udham-singh-nagar/solar-company-in-gadarpur/</t>
  </si>
  <si>
    <t xml:space="preserve">Solar Company in Gadarpur</t>
  </si>
  <si>
    <t xml:space="preserve">solar company in gadarpur</t>
  </si>
  <si>
    <t>Jaspur</t>
  </si>
  <si>
    <t>/locations/udham-singh-nagar/solar-company-in-jaspur/</t>
  </si>
  <si>
    <t xml:space="preserve">Solar Company in Jaspur</t>
  </si>
  <si>
    <t xml:space="preserve">solar company in jaspur</t>
  </si>
  <si>
    <t>Almora</t>
  </si>
  <si>
    <t>/locations/almora/solar-company-in-almora/</t>
  </si>
  <si>
    <t xml:space="preserve">Solar Company in Almora</t>
  </si>
  <si>
    <t xml:space="preserve">solar company in almora</t>
  </si>
  <si>
    <t>Ranikhet</t>
  </si>
  <si>
    <t>/locations/almora/solar-company-in-ranikhet/</t>
  </si>
  <si>
    <t xml:space="preserve">Solar Company in Ranikhet</t>
  </si>
  <si>
    <t xml:space="preserve">solar company in ranikhet</t>
  </si>
  <si>
    <t>Dwarahat</t>
  </si>
  <si>
    <t>/locations/almora/solar-company-in-dwarahat/</t>
  </si>
  <si>
    <t xml:space="preserve">Solar Company in Dwarahat</t>
  </si>
  <si>
    <t xml:space="preserve">solar company in dwarahat</t>
  </si>
  <si>
    <t>Someshwar</t>
  </si>
  <si>
    <t>/locations/almora/solar-company-in-someshwar/</t>
  </si>
  <si>
    <t xml:space="preserve">Solar Company in Someshwar</t>
  </si>
  <si>
    <t xml:space="preserve">solar company in someshwar</t>
  </si>
  <si>
    <t>Chaukhutia</t>
  </si>
  <si>
    <t>/locations/almora/solar-company-in-chaukhutia/</t>
  </si>
  <si>
    <t xml:space="preserve">Solar Company in Chaukhutia</t>
  </si>
  <si>
    <t xml:space="preserve">solar company in chaukhutia</t>
  </si>
  <si>
    <t>Bhikiyasain</t>
  </si>
  <si>
    <t>/locations/almora/solar-company-in-bhikiyasain/</t>
  </si>
  <si>
    <t xml:space="preserve">Solar Company in Bhikiyasain</t>
  </si>
  <si>
    <t xml:space="preserve">solar company in bhikiyasain</t>
  </si>
  <si>
    <t>Jainti</t>
  </si>
  <si>
    <t>/locations/almora/solar-company-in-jainti/</t>
  </si>
  <si>
    <t xml:space="preserve">Solar Company in Jainti</t>
  </si>
  <si>
    <t xml:space="preserve">solar company in jainti</t>
  </si>
  <si>
    <t>Bageshwar</t>
  </si>
  <si>
    <t>/locations/bageshwar/solar-company-in-bageshwar/</t>
  </si>
  <si>
    <t xml:space="preserve">Solar Company in Bageshwar</t>
  </si>
  <si>
    <t xml:space="preserve">solar company in bageshwar</t>
  </si>
  <si>
    <t>Kausani</t>
  </si>
  <si>
    <t>/locations/bageshwar/solar-company-in-kausani/</t>
  </si>
  <si>
    <t xml:space="preserve">Solar Company in Kausani</t>
  </si>
  <si>
    <t xml:space="preserve">solar company in kausani</t>
  </si>
  <si>
    <t>Garur</t>
  </si>
  <si>
    <t>/locations/bageshwar/solar-company-in-garur/</t>
  </si>
  <si>
    <t xml:space="preserve">Solar Company in Garur</t>
  </si>
  <si>
    <t xml:space="preserve">solar company in garur</t>
  </si>
  <si>
    <t>Kapkot</t>
  </si>
  <si>
    <t>/locations/bageshwar/solar-company-in-kapkot/</t>
  </si>
  <si>
    <t xml:space="preserve">Solar Company in Kapkot</t>
  </si>
  <si>
    <t xml:space="preserve">solar company in kapkot</t>
  </si>
  <si>
    <t>Kanda</t>
  </si>
  <si>
    <t>/locations/bageshwar/solar-company-in-kanda/</t>
  </si>
  <si>
    <t xml:space="preserve">Solar Company in Kanda</t>
  </si>
  <si>
    <t xml:space="preserve">solar company in kanda</t>
  </si>
  <si>
    <t>Baijnath</t>
  </si>
  <si>
    <t>/locations/bageshwar/solar-company-in-baijnath/</t>
  </si>
  <si>
    <t xml:space="preserve">Solar Company in Baijnath</t>
  </si>
  <si>
    <t xml:space="preserve">solar company in baijnath</t>
  </si>
  <si>
    <t>Kafligair</t>
  </si>
  <si>
    <t>/locations/bageshwar/solar-company-in-kafligair/</t>
  </si>
  <si>
    <t xml:space="preserve">Solar Company in Kafligair</t>
  </si>
  <si>
    <t xml:space="preserve">solar company in kafligair</t>
  </si>
  <si>
    <t>Chamoli</t>
  </si>
  <si>
    <t>Gopeshwar</t>
  </si>
  <si>
    <t>/locations/chamoli/solar-company-in-gopeshwar/</t>
  </si>
  <si>
    <t xml:space="preserve">Solar Company in Gopeshwar</t>
  </si>
  <si>
    <t xml:space="preserve">solar company in gopeshwar</t>
  </si>
  <si>
    <t xml:space="preserve">Joshimath (Jyotirmath)</t>
  </si>
  <si>
    <t>/locations/chamoli/solar-company-in-joshimath/</t>
  </si>
  <si>
    <t xml:space="preserve">Solar Company in Joshimath (Jyotirmath)</t>
  </si>
  <si>
    <t xml:space="preserve">solar company in joshimath</t>
  </si>
  <si>
    <t>Karnaprayag</t>
  </si>
  <si>
    <t>/locations/chamoli/solar-company-in-karnaprayag/</t>
  </si>
  <si>
    <t xml:space="preserve">Solar Company in Karnaprayag</t>
  </si>
  <si>
    <t xml:space="preserve">solar company in karnaprayag</t>
  </si>
  <si>
    <t>Gauchar</t>
  </si>
  <si>
    <t>/locations/chamoli/solar-company-in-gauchar/</t>
  </si>
  <si>
    <t xml:space="preserve">Solar Company in Gauchar</t>
  </si>
  <si>
    <t xml:space="preserve">solar company in gauchar</t>
  </si>
  <si>
    <t>Gairsain</t>
  </si>
  <si>
    <t>/locations/chamoli/solar-company-in-gairsain/</t>
  </si>
  <si>
    <t xml:space="preserve">Solar Company in Gairsain</t>
  </si>
  <si>
    <t xml:space="preserve">solar company in gairsain</t>
  </si>
  <si>
    <t>Pipalkoti</t>
  </si>
  <si>
    <t>/locations/chamoli/solar-company-in-pipalkoti/</t>
  </si>
  <si>
    <t xml:space="preserve">Solar Company in Pipalkoti</t>
  </si>
  <si>
    <t xml:space="preserve">solar company in pipalkoti</t>
  </si>
  <si>
    <t>Nandprayag</t>
  </si>
  <si>
    <t>/locations/chamoli/solar-company-in-nandprayag/</t>
  </si>
  <si>
    <t xml:space="preserve">Solar Company in Nandprayag</t>
  </si>
  <si>
    <t xml:space="preserve">solar company in nandprayag</t>
  </si>
  <si>
    <t>Tharali</t>
  </si>
  <si>
    <t>/locations/chamoli/solar-company-in-tharali/</t>
  </si>
  <si>
    <t xml:space="preserve">Solar Company in Tharali</t>
  </si>
  <si>
    <t xml:space="preserve">solar company in tharali</t>
  </si>
  <si>
    <t>Champawat</t>
  </si>
  <si>
    <t>Tanakpur</t>
  </si>
  <si>
    <t>/locations/champawat/solar-company-in-tanakpur/</t>
  </si>
  <si>
    <t xml:space="preserve">Solar Company in Tanakpur</t>
  </si>
  <si>
    <t xml:space="preserve">solar company in tanakpur</t>
  </si>
  <si>
    <t>/locations/champawat/solar-company-in-champawat/</t>
  </si>
  <si>
    <t xml:space="preserve">Solar Company in Champawat</t>
  </si>
  <si>
    <t xml:space="preserve">solar company in champawat</t>
  </si>
  <si>
    <t>Lohaghat</t>
  </si>
  <si>
    <t>/locations/champawat/solar-company-in-lohaghat/</t>
  </si>
  <si>
    <t xml:space="preserve">Solar Company in Lohaghat</t>
  </si>
  <si>
    <t xml:space="preserve">solar company in lohaghat</t>
  </si>
  <si>
    <t>Banbasa</t>
  </si>
  <si>
    <t>/locations/champawat/solar-company-in-banbasa/</t>
  </si>
  <si>
    <t xml:space="preserve">Solar Company in Banbasa</t>
  </si>
  <si>
    <t xml:space="preserve">solar company in banbasa</t>
  </si>
  <si>
    <t>Pati</t>
  </si>
  <si>
    <t>/locations/champawat/solar-company-in-pati/</t>
  </si>
  <si>
    <t xml:space="preserve">Solar Company in Pati</t>
  </si>
  <si>
    <t xml:space="preserve">solar company in pati</t>
  </si>
  <si>
    <t>Barakot</t>
  </si>
  <si>
    <t>/locations/champawat/solar-company-in-barakot/</t>
  </si>
  <si>
    <t xml:space="preserve">Solar Company in Barakot</t>
  </si>
  <si>
    <t xml:space="preserve">solar company in barakot</t>
  </si>
  <si>
    <t xml:space="preserve">Pauri Garhwal</t>
  </si>
  <si>
    <t>Kotdwar</t>
  </si>
  <si>
    <t>/locations/pauri-garhwal/solar-company-in-kotdwar/</t>
  </si>
  <si>
    <t xml:space="preserve">Solar Company in Kotdwar</t>
  </si>
  <si>
    <t xml:space="preserve">solar company in kotdwar</t>
  </si>
  <si>
    <t xml:space="preserve">Srinagar Garhwal</t>
  </si>
  <si>
    <t>/locations/pauri-garhwal/solar-company-in-srinagar-garhwal/</t>
  </si>
  <si>
    <t xml:space="preserve">Solar Company in Srinagar Garhwal</t>
  </si>
  <si>
    <t xml:space="preserve">solar company in srinagar garhwal</t>
  </si>
  <si>
    <t>Pauri</t>
  </si>
  <si>
    <t>/locations/pauri-garhwal/solar-company-in-pauri/</t>
  </si>
  <si>
    <t xml:space="preserve">Solar Company in Pauri</t>
  </si>
  <si>
    <t xml:space="preserve">solar company in pauri</t>
  </si>
  <si>
    <t>Lansdowne</t>
  </si>
  <si>
    <t>/locations/pauri-garhwal/solar-company-in-lansdowne/</t>
  </si>
  <si>
    <t xml:space="preserve">Solar Company in Lansdowne</t>
  </si>
  <si>
    <t xml:space="preserve">solar company in lansdowne</t>
  </si>
  <si>
    <t>Satpuli</t>
  </si>
  <si>
    <t>/locations/pauri-garhwal/solar-company-in-satpuli/</t>
  </si>
  <si>
    <t xml:space="preserve">Solar Company in Satpuli</t>
  </si>
  <si>
    <t xml:space="preserve">solar company in satpuli</t>
  </si>
  <si>
    <t>Dugadda</t>
  </si>
  <si>
    <t>/locations/pauri-garhwal/solar-company-in-dugadda/</t>
  </si>
  <si>
    <t xml:space="preserve">Solar Company in Dugadda</t>
  </si>
  <si>
    <t xml:space="preserve">solar company in dugadda</t>
  </si>
  <si>
    <t>Yamkeshwar</t>
  </si>
  <si>
    <t>/locations/pauri-garhwal/solar-company-in-yamkeshwar/</t>
  </si>
  <si>
    <t xml:space="preserve">Solar Company in Yamkeshwar</t>
  </si>
  <si>
    <t xml:space="preserve">solar company in yamkeshwar</t>
  </si>
  <si>
    <t>Thalisain</t>
  </si>
  <si>
    <t>/locations/pauri-garhwal/solar-company-in-thalisain/</t>
  </si>
  <si>
    <t xml:space="preserve">Solar Company in Thalisain</t>
  </si>
  <si>
    <t xml:space="preserve">solar company in thalisain</t>
  </si>
  <si>
    <t>Pithoragarh</t>
  </si>
  <si>
    <t>/locations/pithoragarh/solar-company-in-pithoragarh/</t>
  </si>
  <si>
    <t xml:space="preserve">Solar Company in Pithoragarh</t>
  </si>
  <si>
    <t xml:space="preserve">solar company in pithoragarh</t>
  </si>
  <si>
    <t>Dharchula</t>
  </si>
  <si>
    <t>/locations/pithoragarh/solar-company-in-dharchula/</t>
  </si>
  <si>
    <t xml:space="preserve">Solar Company in Dharchula</t>
  </si>
  <si>
    <t xml:space="preserve">solar company in dharchula</t>
  </si>
  <si>
    <t>Didihat</t>
  </si>
  <si>
    <t>/locations/pithoragarh/solar-company-in-didihat/</t>
  </si>
  <si>
    <t xml:space="preserve">Solar Company in Didihat</t>
  </si>
  <si>
    <t xml:space="preserve">solar company in didihat</t>
  </si>
  <si>
    <t>Munsiyari</t>
  </si>
  <si>
    <t>/locations/pithoragarh/solar-company-in-munsiyari/</t>
  </si>
  <si>
    <t xml:space="preserve">Solar Company in Munsiyari</t>
  </si>
  <si>
    <t xml:space="preserve">solar company in munsiyari</t>
  </si>
  <si>
    <t>Berinag</t>
  </si>
  <si>
    <t>/locations/pithoragarh/solar-company-in-berinag/</t>
  </si>
  <si>
    <t xml:space="preserve">Solar Company in Berinag</t>
  </si>
  <si>
    <t xml:space="preserve">solar company in berinag</t>
  </si>
  <si>
    <t>Gangolihat</t>
  </si>
  <si>
    <t>/locations/pithoragarh/solar-company-in-gangolihat/</t>
  </si>
  <si>
    <t xml:space="preserve">Solar Company in Gangolihat</t>
  </si>
  <si>
    <t xml:space="preserve">solar company in gangolihat</t>
  </si>
  <si>
    <t>Thal</t>
  </si>
  <si>
    <t>/locations/pithoragarh/solar-company-in-thal/</t>
  </si>
  <si>
    <t xml:space="preserve">Solar Company in Thal</t>
  </si>
  <si>
    <t xml:space="preserve">solar company in thal</t>
  </si>
  <si>
    <t>Askot</t>
  </si>
  <si>
    <t>/locations/pithoragarh/solar-company-in-askot/</t>
  </si>
  <si>
    <t xml:space="preserve">Solar Company in Askot</t>
  </si>
  <si>
    <t xml:space="preserve">solar company in askot</t>
  </si>
  <si>
    <t>Rudraprayag</t>
  </si>
  <si>
    <t>/locations/rudraprayag/solar-company-in-rudraprayag/</t>
  </si>
  <si>
    <t xml:space="preserve">Solar Company in Rudraprayag</t>
  </si>
  <si>
    <t xml:space="preserve">solar company in rudraprayag</t>
  </si>
  <si>
    <t>Agastyamuni</t>
  </si>
  <si>
    <t>/locations/rudraprayag/solar-company-in-agastyamuni/</t>
  </si>
  <si>
    <t xml:space="preserve">Solar Company in Agastyamuni</t>
  </si>
  <si>
    <t xml:space="preserve">solar company in agastyamuni</t>
  </si>
  <si>
    <t>Guptkashi</t>
  </si>
  <si>
    <t>/locations/rudraprayag/solar-company-in-guptkashi/</t>
  </si>
  <si>
    <t xml:space="preserve">Solar Company in Guptkashi</t>
  </si>
  <si>
    <t xml:space="preserve">solar company in guptkashi</t>
  </si>
  <si>
    <t>Ukhimath</t>
  </si>
  <si>
    <t>/locations/rudraprayag/solar-company-in-ukhimath/</t>
  </si>
  <si>
    <t xml:space="preserve">Solar Company in Ukhimath</t>
  </si>
  <si>
    <t xml:space="preserve">solar company in ukhimath</t>
  </si>
  <si>
    <t>Tilwara</t>
  </si>
  <si>
    <t>/locations/rudraprayag/solar-company-in-tilwara/</t>
  </si>
  <si>
    <t xml:space="preserve">Solar Company in Tilwara</t>
  </si>
  <si>
    <t xml:space="preserve">solar company in tilwara</t>
  </si>
  <si>
    <t>Sonprayag</t>
  </si>
  <si>
    <t>/locations/rudraprayag/solar-company-in-sonprayag/</t>
  </si>
  <si>
    <t xml:space="preserve">Solar Company in Sonprayag</t>
  </si>
  <si>
    <t xml:space="preserve">solar company in sonprayag</t>
  </si>
  <si>
    <t>Phata</t>
  </si>
  <si>
    <t>/locations/rudraprayag/solar-company-in-phata/</t>
  </si>
  <si>
    <t xml:space="preserve">Solar Company in Phata</t>
  </si>
  <si>
    <t xml:space="preserve">solar company in phata</t>
  </si>
  <si>
    <t xml:space="preserve">Tehri Garhwal</t>
  </si>
  <si>
    <t xml:space="preserve">New Tehri</t>
  </si>
  <si>
    <t>/locations/tehri-garhwal/solar-company-in-new-tehri/</t>
  </si>
  <si>
    <t xml:space="preserve">Solar Company in New Tehri</t>
  </si>
  <si>
    <t xml:space="preserve">solar company in new tehri</t>
  </si>
  <si>
    <t>Chamba</t>
  </si>
  <si>
    <t>/locations/tehri-garhwal/solar-company-in-chamba/</t>
  </si>
  <si>
    <t xml:space="preserve">Solar Company in Chamba</t>
  </si>
  <si>
    <t xml:space="preserve">solar company in chamba</t>
  </si>
  <si>
    <t xml:space="preserve">Muni Ki Reti</t>
  </si>
  <si>
    <t>/locations/tehri-garhwal/solar-company-in-muni-ki-reti/</t>
  </si>
  <si>
    <t xml:space="preserve">Solar Company in Muni Ki Reti</t>
  </si>
  <si>
    <t xml:space="preserve">solar company in muni ki reti</t>
  </si>
  <si>
    <t>Narendranagar</t>
  </si>
  <si>
    <t>/locations/tehri-garhwal/solar-company-in-narendranagar/</t>
  </si>
  <si>
    <t xml:space="preserve">Solar Company in Narendranagar</t>
  </si>
  <si>
    <t xml:space="preserve">solar company in narendranagar</t>
  </si>
  <si>
    <t>Devprayag</t>
  </si>
  <si>
    <t>/locations/tehri-garhwal/solar-company-in-devprayag/</t>
  </si>
  <si>
    <t xml:space="preserve">Solar Company in Devprayag</t>
  </si>
  <si>
    <t xml:space="preserve">solar company in devprayag</t>
  </si>
  <si>
    <t>Ghansali</t>
  </si>
  <si>
    <t>/locations/tehri-garhwal/solar-company-in-ghansali/</t>
  </si>
  <si>
    <t xml:space="preserve">Solar Company in Ghansali</t>
  </si>
  <si>
    <t xml:space="preserve">solar company in ghansali</t>
  </si>
  <si>
    <t>Tapovan</t>
  </si>
  <si>
    <t>/locations/tehri-garhwal/solar-company-in-tapovan/</t>
  </si>
  <si>
    <t xml:space="preserve">Solar Company in Tapovan</t>
  </si>
  <si>
    <t xml:space="preserve">solar company in tapovan</t>
  </si>
  <si>
    <t>Kirtinagar</t>
  </si>
  <si>
    <t>/locations/tehri-garhwal/solar-company-in-kirtinagar/</t>
  </si>
  <si>
    <t xml:space="preserve">Solar Company in Kirtinagar</t>
  </si>
  <si>
    <t xml:space="preserve">solar company in kirtinagar</t>
  </si>
  <si>
    <t>Uttarkashi</t>
  </si>
  <si>
    <t>/locations/uttarkashi/solar-company-in-uttarkashi/</t>
  </si>
  <si>
    <t xml:space="preserve">Solar Company in Uttarkashi</t>
  </si>
  <si>
    <t xml:space="preserve">solar company in uttarkashi</t>
  </si>
  <si>
    <t>Barkot</t>
  </si>
  <si>
    <t>/locations/uttarkashi/solar-company-in-barkot/</t>
  </si>
  <si>
    <t xml:space="preserve">Solar Company in Barkot</t>
  </si>
  <si>
    <t xml:space="preserve">solar company in barkot</t>
  </si>
  <si>
    <t>Chinyalisaur</t>
  </si>
  <si>
    <t>/locations/uttarkashi/solar-company-in-chinyalisaur/</t>
  </si>
  <si>
    <t xml:space="preserve">Solar Company in Chinyalisaur</t>
  </si>
  <si>
    <t xml:space="preserve">solar company in chinyalisaur</t>
  </si>
  <si>
    <t>Purola</t>
  </si>
  <si>
    <t>/locations/uttarkashi/solar-company-in-purola/</t>
  </si>
  <si>
    <t xml:space="preserve">Solar Company in Purola</t>
  </si>
  <si>
    <t xml:space="preserve">solar company in purola</t>
  </si>
  <si>
    <t>Naugaon</t>
  </si>
  <si>
    <t>/locations/uttarkashi/solar-company-in-naugaon/</t>
  </si>
  <si>
    <t xml:space="preserve">Solar Company in Naugaon</t>
  </si>
  <si>
    <t xml:space="preserve">solar company in naugaon</t>
  </si>
  <si>
    <t>Dunda</t>
  </si>
  <si>
    <t>/locations/uttarkashi/solar-company-in-dunda/</t>
  </si>
  <si>
    <t xml:space="preserve">Solar Company in Dunda</t>
  </si>
  <si>
    <t xml:space="preserve">solar company in dunda</t>
  </si>
  <si>
    <t>Bhatwari</t>
  </si>
  <si>
    <t>/locations/uttarkashi/solar-company-in-bhatwari/</t>
  </si>
  <si>
    <t xml:space="preserve">Solar Company in Bhatwari</t>
  </si>
  <si>
    <t xml:space="preserve">solar company in bhatwari</t>
  </si>
  <si>
    <t>Mori</t>
  </si>
  <si>
    <t>/locations/uttarkashi/solar-company-in-mori/</t>
  </si>
  <si>
    <t xml:space="preserve">Solar Company in Mori</t>
  </si>
  <si>
    <t xml:space="preserve">solar company in mori</t>
  </si>
  <si>
    <t xml:space="preserve">UTTsolar – District Rollout Summary</t>
  </si>
  <si>
    <t xml:space="preserve">Total Districts</t>
  </si>
  <si>
    <t xml:space="preserve">Total Location Pages</t>
  </si>
  <si>
    <t xml:space="preserve">High Priority</t>
  </si>
  <si>
    <t xml:space="preserve">Medium Priority</t>
  </si>
  <si>
    <t xml:space="preserve">Total Pages</t>
  </si>
  <si>
    <t>TOTAL</t>
  </si>
  <si>
    <t xml:space="preserve">How to Use This SEO Location Plan</t>
  </si>
  <si>
    <t>Item</t>
  </si>
  <si>
    <t>Recommendation</t>
  </si>
  <si>
    <t xml:space="preserve">Build these pages first. They represent the stronger urban, commercial, industrial, tourism, or district-level service markets in the plan.</t>
  </si>
  <si>
    <t xml:space="preserve">Build after the High-priority cluster is live, internally linked, indexed, and receiving impressions/leads.</t>
  </si>
  <si>
    <t xml:space="preserve">URL Structure</t>
  </si>
  <si>
    <t xml:space="preserve">/locations/{district}/solar-company-in-{city}/ — creates a clear Uttarakhand → District → City/Town architecture.</t>
  </si>
  <si>
    <t xml:space="preserve">H1 Structure</t>
  </si>
  <si>
    <t xml:space="preserve">Use one H1 only: “Solar Company in {City/Town}”. Add district/Uttarakhand context naturally in H2s and body copy.</t>
  </si>
  <si>
    <t xml:space="preserve">Use “solar company in {city}” naturally. Support it with rooftop solar, solar installation, subsidy, UPCL, and PM Surya Ghar terms where relevant.</t>
  </si>
  <si>
    <t xml:space="preserve">Content Rule</t>
  </si>
  <si>
    <t xml:space="preserve">Each city page should have genuinely localized copy: coverage, nearby areas, project context, roof types, local FAQs, CTA, and links to its district page.</t>
  </si>
  <si>
    <t xml:space="preserve">Internal Linking</t>
  </si>
  <si>
    <t xml:space="preserve">Every city/town page should link to its parent district page; district pages should link to all priority city/town pages.</t>
  </si>
  <si>
    <t xml:space="preserve">Important Correction</t>
  </si>
  <si>
    <t xml:space="preserve">Kausani is included under Bageshwar, not Almora. Old Tehri is excluded as a target and replaced with active service markets such as Chamba and Muni Ki Reti.</t>
  </si>
  <si>
    <t xml:space="preserve">Priority Disclaimer</t>
  </si>
  <si>
    <t xml:space="preserve">High/Medium is a strategic rollout recommendation based on market/service relevance; it is not verified Google monthly search-volume data.</t>
  </si>
  <si>
    <t xml:space="preserve">Main Reference</t>
  </si>
  <si>
    <t>https://homedecorjunagarh.com/locations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</si>
</sst>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name val="Carlito"/>
    </font>
    <font>
      <b/>
      <sz val="16.000000"/>
      <color indexed="65"/>
      <name val="Carlito"/>
    </font>
    <font>
      <i/>
      <sz val="10.000000"/>
      <color rgb="FF2F4F45"/>
      <name val="Carlito"/>
    </font>
    <font>
      <b/>
      <sz val="10.000000"/>
      <color rgb="FF1F2D27"/>
      <name val="Carlito"/>
    </font>
    <font>
      <u/>
      <sz val="11.000000"/>
      <color theme="10"/>
      <name val="Carlito"/>
    </font>
    <font>
      <b/>
      <sz val="11.000000"/>
      <color rgb="FF174A3A"/>
      <name val="Carlito"/>
    </font>
    <font>
      <b/>
      <sz val="15.000000"/>
      <color rgb="FF174A3A"/>
      <name val="Carlito"/>
    </font>
    <font>
      <b/>
      <sz val="11.000000"/>
      <color indexed="65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4A3A"/>
      </patternFill>
    </fill>
    <fill>
      <patternFill patternType="solid">
        <fgColor rgb="FFEAF4EE"/>
      </patternFill>
    </fill>
    <fill>
      <patternFill patternType="solid">
        <fgColor rgb="FFF2B705"/>
      </patternFill>
    </fill>
    <fill>
      <patternFill patternType="solid">
        <fgColor indexed="65"/>
      </patternFill>
    </fill>
    <fill>
      <patternFill patternType="solid">
        <fgColor rgb="FFF7FAF8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3">
    <xf fontId="0" fillId="0" borderId="0" numFmtId="0" xfId="0"/>
    <xf fontId="1" fillId="2" borderId="0" numFmtId="0" xfId="0" applyFont="1" applyFill="1" applyAlignment="1">
      <alignment horizontal="left" vertical="center"/>
    </xf>
    <xf fontId="2" fillId="3" borderId="0" numFmtId="0" xfId="0" applyFont="1" applyFill="1" applyAlignment="1">
      <alignment horizontal="left" vertical="center" wrapText="1"/>
    </xf>
    <xf fontId="3" fillId="4" borderId="0" numFmtId="0" xfId="0" applyFont="1" applyFill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vertical="center" wrapText="1"/>
    </xf>
    <xf fontId="0" fillId="0" borderId="0" numFmtId="0" xfId="0" applyAlignment="1">
      <alignment vertical="center" wrapText="1"/>
    </xf>
    <xf fontId="4" fillId="0" borderId="0" numFmtId="0" xfId="0" applyFont="1" applyAlignment="1">
      <alignment vertical="center" wrapText="1"/>
    </xf>
    <xf fontId="5" fillId="3" borderId="0" numFmtId="0" xfId="0" applyFont="1" applyFill="1" applyAlignment="1">
      <alignment horizontal="center" vertical="center"/>
    </xf>
    <xf fontId="6" fillId="5" borderId="0" numFmtId="0" xfId="0" applyFont="1" applyFill="1" applyAlignment="1">
      <alignment horizontal="center" vertical="center"/>
    </xf>
    <xf fontId="7" fillId="2" borderId="0" numFmtId="0" xfId="0" applyFont="1" applyFill="1" applyAlignment="1">
      <alignment horizontal="center" vertical="center"/>
    </xf>
    <xf fontId="5" fillId="6" borderId="0" numFmtId="0" xfId="0" applyFont="1" applyFill="1" applyAlignment="1">
      <alignment vertical="top" wrapText="1"/>
    </xf>
    <xf fontId="0" fillId="0" borderId="0" numFmtId="0" xfId="0" applyAlignment="1">
      <alignment vertical="top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/>
              <a:t>Recommended Location Pages by District</a:t>
            </a:r>
            <a:endParaRPr/>
          </a:p>
        </c:rich>
      </c:tx>
      <c:layout/>
      <c:overlay val="0"/>
    </c:title>
    <c:plotArea>
      <c:layout/>
      <c:barChart>
        <c:barDir val="col"/>
        <c:varyColors val="0"/>
        <c:ser>
          <c:idx val="0"/>
          <c:order val="0"/>
          <c:tx>
            <c:v>Total Pages</c:v>
          </c:tx>
          <c:cat>
            <c:strRef>
              <c:f>'District Summary'!$A$7:$A$19</c:f>
              <c:strCache>
                <c:ptCount val="0"/>
              </c:strCache>
            </c:strRef>
          </c:cat>
          <c:val>
            <c:numRef>
              <c:f>'District Summary'!$B$7:$B$19</c:f>
              <c:numCache>
                <c:formatCode>General</c:formatCode>
                <c:ptCount val="0"/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  <c:showDLblsOverMax val="0"/>
  </c:chart>
  <c:spPr bwMode="auto">
    <a:xfrm rot="0">
      <a:off x="0" y="0"/>
      <a:ext cx="0" cy="0"/>
    </a:xfrm>
    <a:prstGeom prst="rect">
      <a:avLst/>
    </a:prstGeom>
    <a:ln w="9525">
      <a:solidFill>
        <a:srgbClr val="D9D9D9"/>
      </a:solidFill>
      <a:prstDash val="solid"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0</xdr:colOff>
      <xdr:row>5</xdr:row>
      <xdr:rowOff>0</xdr:rowOff>
    </xdr:from>
    <xdr:to>
      <xdr:col>14</xdr:col>
      <xdr:colOff>0</xdr:colOff>
      <xdr:row>23</xdr:row>
      <xdr:rowOff>0</xdr:rowOff>
    </xdr:to>
    <xdr:graphicFrame>
      <xdr:nvGraphicFramePr>
        <xdr:cNvPr id="1" name="Chart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SeoLocationPlanTable" ref="A4:H103" headerRowCount="1" totalsRowCount="0">
  <tableColumns count="8">
    <tableColumn id="1" name="No."/>
    <tableColumn id="2" name="District"/>
    <tableColumn id="3" name="City / Town"/>
    <tableColumn id="4" name="SEO Priority"/>
    <tableColumn id="5" name="Recommended URL Slug"/>
    <tableColumn id="6" name="Suggested H1"/>
    <tableColumn id="7" name="Primary Keyword"/>
    <tableColumn id="8" name="Referen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DistrictSummaryTable" ref="A6:D19" headerRowCount="1" totalsRowCount="0">
  <tableColumns count="4">
    <tableColumn id="1" name="District"/>
    <tableColumn id="2" name="Total Pages"/>
    <tableColumn id="3" name="High Priority"/>
    <tableColumn id="4" name="Medium Priority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https://uttsolar.in/locations" TargetMode="External"/><Relationship 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100" workbookViewId="0">
      <selection activeCell="A1" activeCellId="0" sqref="A1"/>
    </sheetView>
  </sheetViews>
  <sheetFormatPr defaultRowHeight="14.25"/>
  <cols>
    <col customWidth="1" min="1" max="1" width="7"/>
    <col customWidth="1" min="2" max="2" width="22"/>
    <col customWidth="1" min="3" max="3" width="23"/>
    <col customWidth="1" min="4" max="4" width="14"/>
    <col customWidth="1" min="5" max="5" width="47"/>
    <col customWidth="1" min="6" max="6" width="34"/>
    <col customWidth="1" min="7" max="7" width="33"/>
    <col customWidth="1" min="8" max="8" width="42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</row>
    <row r="2" ht="32" customHeight="1">
      <c r="A2" s="2" t="s">
        <v>1</v>
      </c>
      <c r="B2" s="2"/>
      <c r="C2" s="2"/>
      <c r="D2" s="2"/>
      <c r="E2" s="2"/>
      <c r="F2" s="2"/>
      <c r="G2" s="2"/>
      <c r="H2" s="2"/>
    </row>
    <row r="4" ht="2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>
      <c r="A5" s="4">
        <v>1</v>
      </c>
      <c r="B5" s="5" t="s">
        <v>10</v>
      </c>
      <c r="C5" s="5" t="s">
        <v>11</v>
      </c>
      <c r="D5" s="4" t="s">
        <v>12</v>
      </c>
      <c r="E5" s="5" t="s">
        <v>13</v>
      </c>
      <c r="F5" s="5" t="s">
        <v>14</v>
      </c>
      <c r="G5" s="5" t="s">
        <v>15</v>
      </c>
      <c r="H5" s="6" t="s">
        <v>16</v>
      </c>
    </row>
    <row r="6" ht="22" customHeight="1">
      <c r="A6" s="4">
        <v>2</v>
      </c>
      <c r="B6" s="5" t="s">
        <v>10</v>
      </c>
      <c r="C6" s="5" t="s">
        <v>10</v>
      </c>
      <c r="D6" s="4" t="s">
        <v>12</v>
      </c>
      <c r="E6" s="5" t="s">
        <v>17</v>
      </c>
      <c r="F6" s="5" t="s">
        <v>18</v>
      </c>
      <c r="G6" s="5" t="s">
        <v>19</v>
      </c>
      <c r="H6" s="7" t="s">
        <v>20</v>
      </c>
    </row>
    <row r="7" ht="22" customHeight="1">
      <c r="A7" s="4">
        <v>3</v>
      </c>
      <c r="B7" s="5" t="s">
        <v>10</v>
      </c>
      <c r="C7" s="5" t="s">
        <v>21</v>
      </c>
      <c r="D7" s="4" t="s">
        <v>12</v>
      </c>
      <c r="E7" s="5" t="s">
        <v>22</v>
      </c>
      <c r="F7" s="5" t="s">
        <v>23</v>
      </c>
      <c r="G7" s="5" t="s">
        <v>24</v>
      </c>
      <c r="H7" s="7" t="s">
        <v>20</v>
      </c>
    </row>
    <row r="8" ht="22" customHeight="1">
      <c r="A8" s="4">
        <v>4</v>
      </c>
      <c r="B8" s="5" t="s">
        <v>10</v>
      </c>
      <c r="C8" s="5" t="s">
        <v>25</v>
      </c>
      <c r="D8" s="4" t="s">
        <v>12</v>
      </c>
      <c r="E8" s="5" t="s">
        <v>26</v>
      </c>
      <c r="F8" s="5" t="s">
        <v>27</v>
      </c>
      <c r="G8" s="5" t="s">
        <v>28</v>
      </c>
      <c r="H8" s="7" t="s">
        <v>20</v>
      </c>
    </row>
    <row r="9" ht="22" customHeight="1">
      <c r="A9" s="4">
        <v>5</v>
      </c>
      <c r="B9" s="5" t="s">
        <v>10</v>
      </c>
      <c r="C9" s="5" t="s">
        <v>29</v>
      </c>
      <c r="D9" s="4" t="s">
        <v>12</v>
      </c>
      <c r="E9" s="5" t="s">
        <v>30</v>
      </c>
      <c r="F9" s="5" t="s">
        <v>31</v>
      </c>
      <c r="G9" s="5" t="s">
        <v>32</v>
      </c>
      <c r="H9" s="7" t="s">
        <v>20</v>
      </c>
    </row>
    <row r="10" ht="22" customHeight="1">
      <c r="A10" s="4">
        <v>6</v>
      </c>
      <c r="B10" s="5" t="s">
        <v>10</v>
      </c>
      <c r="C10" s="5" t="s">
        <v>33</v>
      </c>
      <c r="D10" s="4" t="s">
        <v>34</v>
      </c>
      <c r="E10" s="5" t="s">
        <v>35</v>
      </c>
      <c r="F10" s="5" t="s">
        <v>36</v>
      </c>
      <c r="G10" s="5" t="s">
        <v>37</v>
      </c>
      <c r="H10" s="7" t="s">
        <v>20</v>
      </c>
    </row>
    <row r="11" ht="22" customHeight="1">
      <c r="A11" s="4">
        <v>7</v>
      </c>
      <c r="B11" s="5" t="s">
        <v>10</v>
      </c>
      <c r="C11" s="5" t="s">
        <v>38</v>
      </c>
      <c r="D11" s="4" t="s">
        <v>34</v>
      </c>
      <c r="E11" s="5" t="s">
        <v>39</v>
      </c>
      <c r="F11" s="5" t="s">
        <v>40</v>
      </c>
      <c r="G11" s="5" t="s">
        <v>41</v>
      </c>
      <c r="H11" s="7" t="s">
        <v>20</v>
      </c>
    </row>
    <row r="12" ht="22" customHeight="1">
      <c r="A12" s="4">
        <v>8</v>
      </c>
      <c r="B12" s="5" t="s">
        <v>10</v>
      </c>
      <c r="C12" s="5" t="s">
        <v>42</v>
      </c>
      <c r="D12" s="4" t="s">
        <v>34</v>
      </c>
      <c r="E12" s="5" t="s">
        <v>43</v>
      </c>
      <c r="F12" s="5" t="s">
        <v>44</v>
      </c>
      <c r="G12" s="5" t="s">
        <v>45</v>
      </c>
      <c r="H12" s="7" t="s">
        <v>20</v>
      </c>
    </row>
    <row r="13" ht="22" customHeight="1">
      <c r="A13" s="4">
        <v>9</v>
      </c>
      <c r="B13" s="5" t="s">
        <v>46</v>
      </c>
      <c r="C13" s="5" t="s">
        <v>46</v>
      </c>
      <c r="D13" s="4" t="s">
        <v>12</v>
      </c>
      <c r="E13" s="5" t="s">
        <v>47</v>
      </c>
      <c r="F13" s="5" t="s">
        <v>48</v>
      </c>
      <c r="G13" s="5" t="s">
        <v>49</v>
      </c>
      <c r="H13" s="7" t="s">
        <v>20</v>
      </c>
    </row>
    <row r="14" ht="22" customHeight="1">
      <c r="A14" s="4">
        <v>10</v>
      </c>
      <c r="B14" s="5" t="s">
        <v>46</v>
      </c>
      <c r="C14" s="5" t="s">
        <v>50</v>
      </c>
      <c r="D14" s="4" t="s">
        <v>12</v>
      </c>
      <c r="E14" s="5" t="s">
        <v>51</v>
      </c>
      <c r="F14" s="5" t="s">
        <v>52</v>
      </c>
      <c r="G14" s="5" t="s">
        <v>53</v>
      </c>
      <c r="H14" s="7" t="s">
        <v>20</v>
      </c>
    </row>
    <row r="15" ht="22" customHeight="1">
      <c r="A15" s="4">
        <v>11</v>
      </c>
      <c r="B15" s="5" t="s">
        <v>46</v>
      </c>
      <c r="C15" s="5" t="s">
        <v>54</v>
      </c>
      <c r="D15" s="4" t="s">
        <v>12</v>
      </c>
      <c r="E15" s="5" t="s">
        <v>55</v>
      </c>
      <c r="F15" s="5" t="s">
        <v>56</v>
      </c>
      <c r="G15" s="5" t="s">
        <v>57</v>
      </c>
      <c r="H15" s="7" t="s">
        <v>20</v>
      </c>
    </row>
    <row r="16" ht="22" customHeight="1">
      <c r="A16" s="4">
        <v>12</v>
      </c>
      <c r="B16" s="5" t="s">
        <v>46</v>
      </c>
      <c r="C16" s="5" t="s">
        <v>58</v>
      </c>
      <c r="D16" s="4" t="s">
        <v>12</v>
      </c>
      <c r="E16" s="5" t="s">
        <v>59</v>
      </c>
      <c r="F16" s="5" t="s">
        <v>60</v>
      </c>
      <c r="G16" s="5" t="s">
        <v>61</v>
      </c>
      <c r="H16" s="7" t="s">
        <v>20</v>
      </c>
    </row>
    <row r="17" ht="22" customHeight="1">
      <c r="A17" s="4">
        <v>13</v>
      </c>
      <c r="B17" s="5" t="s">
        <v>46</v>
      </c>
      <c r="C17" s="5" t="s">
        <v>62</v>
      </c>
      <c r="D17" s="4" t="s">
        <v>12</v>
      </c>
      <c r="E17" s="5" t="s">
        <v>63</v>
      </c>
      <c r="F17" s="5" t="s">
        <v>64</v>
      </c>
      <c r="G17" s="5" t="s">
        <v>65</v>
      </c>
      <c r="H17" s="7" t="s">
        <v>20</v>
      </c>
    </row>
    <row r="18" ht="22" customHeight="1">
      <c r="A18" s="4">
        <v>14</v>
      </c>
      <c r="B18" s="5" t="s">
        <v>46</v>
      </c>
      <c r="C18" s="5" t="s">
        <v>66</v>
      </c>
      <c r="D18" s="4" t="s">
        <v>12</v>
      </c>
      <c r="E18" s="5" t="s">
        <v>67</v>
      </c>
      <c r="F18" s="5" t="s">
        <v>68</v>
      </c>
      <c r="G18" s="5" t="s">
        <v>69</v>
      </c>
      <c r="H18" s="7" t="s">
        <v>20</v>
      </c>
    </row>
    <row r="19" ht="22" customHeight="1">
      <c r="A19" s="4">
        <v>15</v>
      </c>
      <c r="B19" s="5" t="s">
        <v>46</v>
      </c>
      <c r="C19" s="5" t="s">
        <v>70</v>
      </c>
      <c r="D19" s="4" t="s">
        <v>34</v>
      </c>
      <c r="E19" s="5" t="s">
        <v>71</v>
      </c>
      <c r="F19" s="5" t="s">
        <v>72</v>
      </c>
      <c r="G19" s="5" t="s">
        <v>73</v>
      </c>
      <c r="H19" s="7" t="s">
        <v>20</v>
      </c>
    </row>
    <row r="20" ht="22" customHeight="1">
      <c r="A20" s="4">
        <v>16</v>
      </c>
      <c r="B20" s="5" t="s">
        <v>46</v>
      </c>
      <c r="C20" s="5" t="s">
        <v>74</v>
      </c>
      <c r="D20" s="4" t="s">
        <v>34</v>
      </c>
      <c r="E20" s="5" t="s">
        <v>75</v>
      </c>
      <c r="F20" s="5" t="s">
        <v>76</v>
      </c>
      <c r="G20" s="5" t="s">
        <v>77</v>
      </c>
      <c r="H20" s="7" t="s">
        <v>20</v>
      </c>
    </row>
    <row r="21" ht="22" customHeight="1">
      <c r="A21" s="4">
        <v>17</v>
      </c>
      <c r="B21" s="5" t="s">
        <v>78</v>
      </c>
      <c r="C21" s="5" t="s">
        <v>78</v>
      </c>
      <c r="D21" s="4" t="s">
        <v>12</v>
      </c>
      <c r="E21" s="5" t="s">
        <v>79</v>
      </c>
      <c r="F21" s="5" t="s">
        <v>80</v>
      </c>
      <c r="G21" s="5" t="s">
        <v>81</v>
      </c>
      <c r="H21" s="7" t="s">
        <v>20</v>
      </c>
    </row>
    <row r="22" ht="22" customHeight="1">
      <c r="A22" s="4">
        <v>18</v>
      </c>
      <c r="B22" s="5" t="s">
        <v>78</v>
      </c>
      <c r="C22" s="5" t="s">
        <v>82</v>
      </c>
      <c r="D22" s="4" t="s">
        <v>12</v>
      </c>
      <c r="E22" s="5" t="s">
        <v>83</v>
      </c>
      <c r="F22" s="5" t="s">
        <v>84</v>
      </c>
      <c r="G22" s="5" t="s">
        <v>85</v>
      </c>
      <c r="H22" s="7" t="s">
        <v>20</v>
      </c>
    </row>
    <row r="23" ht="22" customHeight="1">
      <c r="A23" s="4">
        <v>19</v>
      </c>
      <c r="B23" s="5" t="s">
        <v>78</v>
      </c>
      <c r="C23" s="5" t="s">
        <v>86</v>
      </c>
      <c r="D23" s="4" t="s">
        <v>12</v>
      </c>
      <c r="E23" s="5" t="s">
        <v>87</v>
      </c>
      <c r="F23" s="5" t="s">
        <v>88</v>
      </c>
      <c r="G23" s="5" t="s">
        <v>89</v>
      </c>
      <c r="H23" s="7" t="s">
        <v>20</v>
      </c>
    </row>
    <row r="24" ht="22" customHeight="1">
      <c r="A24" s="4">
        <v>20</v>
      </c>
      <c r="B24" s="5" t="s">
        <v>78</v>
      </c>
      <c r="C24" s="5" t="s">
        <v>90</v>
      </c>
      <c r="D24" s="4" t="s">
        <v>12</v>
      </c>
      <c r="E24" s="5" t="s">
        <v>91</v>
      </c>
      <c r="F24" s="5" t="s">
        <v>92</v>
      </c>
      <c r="G24" s="5" t="s">
        <v>93</v>
      </c>
      <c r="H24" s="7" t="s">
        <v>20</v>
      </c>
    </row>
    <row r="25" ht="22" customHeight="1">
      <c r="A25" s="4">
        <v>21</v>
      </c>
      <c r="B25" s="5" t="s">
        <v>78</v>
      </c>
      <c r="C25" s="5" t="s">
        <v>94</v>
      </c>
      <c r="D25" s="4" t="s">
        <v>12</v>
      </c>
      <c r="E25" s="5" t="s">
        <v>95</v>
      </c>
      <c r="F25" s="5" t="s">
        <v>96</v>
      </c>
      <c r="G25" s="5" t="s">
        <v>97</v>
      </c>
      <c r="H25" s="7" t="s">
        <v>20</v>
      </c>
    </row>
    <row r="26" ht="22" customHeight="1">
      <c r="A26" s="4">
        <v>22</v>
      </c>
      <c r="B26" s="5" t="s">
        <v>78</v>
      </c>
      <c r="C26" s="5" t="s">
        <v>98</v>
      </c>
      <c r="D26" s="4" t="s">
        <v>12</v>
      </c>
      <c r="E26" s="5" t="s">
        <v>99</v>
      </c>
      <c r="F26" s="5" t="s">
        <v>100</v>
      </c>
      <c r="G26" s="5" t="s">
        <v>101</v>
      </c>
      <c r="H26" s="7" t="s">
        <v>20</v>
      </c>
    </row>
    <row r="27" ht="22" customHeight="1">
      <c r="A27" s="4">
        <v>23</v>
      </c>
      <c r="B27" s="5" t="s">
        <v>78</v>
      </c>
      <c r="C27" s="5" t="s">
        <v>102</v>
      </c>
      <c r="D27" s="4" t="s">
        <v>34</v>
      </c>
      <c r="E27" s="5" t="s">
        <v>103</v>
      </c>
      <c r="F27" s="5" t="s">
        <v>104</v>
      </c>
      <c r="G27" s="5" t="s">
        <v>105</v>
      </c>
      <c r="H27" s="7" t="s">
        <v>20</v>
      </c>
    </row>
    <row r="28" ht="22" customHeight="1">
      <c r="A28" s="4">
        <v>24</v>
      </c>
      <c r="B28" s="5" t="s">
        <v>78</v>
      </c>
      <c r="C28" s="5" t="s">
        <v>106</v>
      </c>
      <c r="D28" s="4" t="s">
        <v>34</v>
      </c>
      <c r="E28" s="5" t="s">
        <v>107</v>
      </c>
      <c r="F28" s="5" t="s">
        <v>108</v>
      </c>
      <c r="G28" s="5" t="s">
        <v>109</v>
      </c>
      <c r="H28" s="7" t="s">
        <v>20</v>
      </c>
    </row>
    <row r="29" ht="22" customHeight="1">
      <c r="A29" s="4">
        <v>25</v>
      </c>
      <c r="B29" s="5" t="s">
        <v>110</v>
      </c>
      <c r="C29" s="5" t="s">
        <v>111</v>
      </c>
      <c r="D29" s="4" t="s">
        <v>12</v>
      </c>
      <c r="E29" s="5" t="s">
        <v>112</v>
      </c>
      <c r="F29" s="5" t="s">
        <v>113</v>
      </c>
      <c r="G29" s="5" t="s">
        <v>114</v>
      </c>
      <c r="H29" s="7" t="s">
        <v>20</v>
      </c>
    </row>
    <row r="30" ht="22" customHeight="1">
      <c r="A30" s="4">
        <v>26</v>
      </c>
      <c r="B30" s="5" t="s">
        <v>110</v>
      </c>
      <c r="C30" s="5" t="s">
        <v>115</v>
      </c>
      <c r="D30" s="4" t="s">
        <v>12</v>
      </c>
      <c r="E30" s="5" t="s">
        <v>116</v>
      </c>
      <c r="F30" s="5" t="s">
        <v>117</v>
      </c>
      <c r="G30" s="5" t="s">
        <v>118</v>
      </c>
      <c r="H30" s="7" t="s">
        <v>20</v>
      </c>
    </row>
    <row r="31" ht="22" customHeight="1">
      <c r="A31" s="4">
        <v>27</v>
      </c>
      <c r="B31" s="5" t="s">
        <v>110</v>
      </c>
      <c r="C31" s="5" t="s">
        <v>119</v>
      </c>
      <c r="D31" s="4" t="s">
        <v>12</v>
      </c>
      <c r="E31" s="5" t="s">
        <v>120</v>
      </c>
      <c r="F31" s="5" t="s">
        <v>121</v>
      </c>
      <c r="G31" s="5" t="s">
        <v>122</v>
      </c>
      <c r="H31" s="7" t="s">
        <v>20</v>
      </c>
    </row>
    <row r="32" ht="22" customHeight="1">
      <c r="A32" s="4">
        <v>28</v>
      </c>
      <c r="B32" s="5" t="s">
        <v>110</v>
      </c>
      <c r="C32" s="5" t="s">
        <v>123</v>
      </c>
      <c r="D32" s="4" t="s">
        <v>12</v>
      </c>
      <c r="E32" s="5" t="s">
        <v>124</v>
      </c>
      <c r="F32" s="5" t="s">
        <v>125</v>
      </c>
      <c r="G32" s="5" t="s">
        <v>126</v>
      </c>
      <c r="H32" s="7" t="s">
        <v>20</v>
      </c>
    </row>
    <row r="33" ht="22" customHeight="1">
      <c r="A33" s="4">
        <v>29</v>
      </c>
      <c r="B33" s="5" t="s">
        <v>110</v>
      </c>
      <c r="C33" s="5" t="s">
        <v>127</v>
      </c>
      <c r="D33" s="4" t="s">
        <v>12</v>
      </c>
      <c r="E33" s="5" t="s">
        <v>128</v>
      </c>
      <c r="F33" s="5" t="s">
        <v>129</v>
      </c>
      <c r="G33" s="5" t="s">
        <v>130</v>
      </c>
      <c r="H33" s="7" t="s">
        <v>20</v>
      </c>
    </row>
    <row r="34" ht="22" customHeight="1">
      <c r="A34" s="4">
        <v>30</v>
      </c>
      <c r="B34" s="5" t="s">
        <v>110</v>
      </c>
      <c r="C34" s="5" t="s">
        <v>131</v>
      </c>
      <c r="D34" s="4" t="s">
        <v>12</v>
      </c>
      <c r="E34" s="5" t="s">
        <v>132</v>
      </c>
      <c r="F34" s="5" t="s">
        <v>133</v>
      </c>
      <c r="G34" s="5" t="s">
        <v>134</v>
      </c>
      <c r="H34" s="7" t="s">
        <v>20</v>
      </c>
    </row>
    <row r="35" ht="22" customHeight="1">
      <c r="A35" s="4">
        <v>31</v>
      </c>
      <c r="B35" s="5" t="s">
        <v>110</v>
      </c>
      <c r="C35" s="5" t="s">
        <v>135</v>
      </c>
      <c r="D35" s="4" t="s">
        <v>34</v>
      </c>
      <c r="E35" s="5" t="s">
        <v>136</v>
      </c>
      <c r="F35" s="5" t="s">
        <v>137</v>
      </c>
      <c r="G35" s="5" t="s">
        <v>138</v>
      </c>
      <c r="H35" s="7" t="s">
        <v>20</v>
      </c>
    </row>
    <row r="36" ht="22" customHeight="1">
      <c r="A36" s="4">
        <v>32</v>
      </c>
      <c r="B36" s="5" t="s">
        <v>110</v>
      </c>
      <c r="C36" s="5" t="s">
        <v>139</v>
      </c>
      <c r="D36" s="4" t="s">
        <v>34</v>
      </c>
      <c r="E36" s="5" t="s">
        <v>140</v>
      </c>
      <c r="F36" s="5" t="s">
        <v>141</v>
      </c>
      <c r="G36" s="5" t="s">
        <v>142</v>
      </c>
      <c r="H36" s="7" t="s">
        <v>20</v>
      </c>
    </row>
    <row r="37" ht="22" customHeight="1">
      <c r="A37" s="4">
        <v>33</v>
      </c>
      <c r="B37" s="5" t="s">
        <v>143</v>
      </c>
      <c r="C37" s="5" t="s">
        <v>143</v>
      </c>
      <c r="D37" s="4" t="s">
        <v>12</v>
      </c>
      <c r="E37" s="5" t="s">
        <v>144</v>
      </c>
      <c r="F37" s="5" t="s">
        <v>145</v>
      </c>
      <c r="G37" s="5" t="s">
        <v>146</v>
      </c>
      <c r="H37" s="7" t="s">
        <v>20</v>
      </c>
    </row>
    <row r="38" ht="22" customHeight="1">
      <c r="A38" s="4">
        <v>34</v>
      </c>
      <c r="B38" s="5" t="s">
        <v>143</v>
      </c>
      <c r="C38" s="5" t="s">
        <v>147</v>
      </c>
      <c r="D38" s="4" t="s">
        <v>12</v>
      </c>
      <c r="E38" s="5" t="s">
        <v>148</v>
      </c>
      <c r="F38" s="5" t="s">
        <v>149</v>
      </c>
      <c r="G38" s="5" t="s">
        <v>150</v>
      </c>
      <c r="H38" s="7" t="s">
        <v>20</v>
      </c>
    </row>
    <row r="39" ht="22" customHeight="1">
      <c r="A39" s="4">
        <v>35</v>
      </c>
      <c r="B39" s="5" t="s">
        <v>143</v>
      </c>
      <c r="C39" s="5" t="s">
        <v>151</v>
      </c>
      <c r="D39" s="4" t="s">
        <v>12</v>
      </c>
      <c r="E39" s="5" t="s">
        <v>152</v>
      </c>
      <c r="F39" s="5" t="s">
        <v>153</v>
      </c>
      <c r="G39" s="5" t="s">
        <v>154</v>
      </c>
      <c r="H39" s="7" t="s">
        <v>20</v>
      </c>
    </row>
    <row r="40" ht="22" customHeight="1">
      <c r="A40" s="4">
        <v>36</v>
      </c>
      <c r="B40" s="5" t="s">
        <v>143</v>
      </c>
      <c r="C40" s="5" t="s">
        <v>155</v>
      </c>
      <c r="D40" s="4" t="s">
        <v>34</v>
      </c>
      <c r="E40" s="5" t="s">
        <v>156</v>
      </c>
      <c r="F40" s="5" t="s">
        <v>157</v>
      </c>
      <c r="G40" s="5" t="s">
        <v>158</v>
      </c>
      <c r="H40" s="7" t="s">
        <v>20</v>
      </c>
    </row>
    <row r="41" ht="22" customHeight="1">
      <c r="A41" s="4">
        <v>37</v>
      </c>
      <c r="B41" s="5" t="s">
        <v>143</v>
      </c>
      <c r="C41" s="5" t="s">
        <v>159</v>
      </c>
      <c r="D41" s="4" t="s">
        <v>34</v>
      </c>
      <c r="E41" s="5" t="s">
        <v>160</v>
      </c>
      <c r="F41" s="5" t="s">
        <v>161</v>
      </c>
      <c r="G41" s="5" t="s">
        <v>162</v>
      </c>
      <c r="H41" s="7" t="s">
        <v>20</v>
      </c>
    </row>
    <row r="42" ht="22" customHeight="1">
      <c r="A42" s="4">
        <v>38</v>
      </c>
      <c r="B42" s="5" t="s">
        <v>143</v>
      </c>
      <c r="C42" s="5" t="s">
        <v>163</v>
      </c>
      <c r="D42" s="4" t="s">
        <v>34</v>
      </c>
      <c r="E42" s="5" t="s">
        <v>164</v>
      </c>
      <c r="F42" s="5" t="s">
        <v>165</v>
      </c>
      <c r="G42" s="5" t="s">
        <v>166</v>
      </c>
      <c r="H42" s="7" t="s">
        <v>20</v>
      </c>
    </row>
    <row r="43" ht="22" customHeight="1">
      <c r="A43" s="4">
        <v>39</v>
      </c>
      <c r="B43" s="5" t="s">
        <v>143</v>
      </c>
      <c r="C43" s="5" t="s">
        <v>167</v>
      </c>
      <c r="D43" s="4" t="s">
        <v>34</v>
      </c>
      <c r="E43" s="5" t="s">
        <v>168</v>
      </c>
      <c r="F43" s="5" t="s">
        <v>169</v>
      </c>
      <c r="G43" s="5" t="s">
        <v>170</v>
      </c>
      <c r="H43" s="7" t="s">
        <v>20</v>
      </c>
    </row>
    <row r="44" ht="22" customHeight="1">
      <c r="A44" s="4">
        <v>40</v>
      </c>
      <c r="B44" s="5" t="s">
        <v>171</v>
      </c>
      <c r="C44" s="5" t="s">
        <v>171</v>
      </c>
      <c r="D44" s="4" t="s">
        <v>12</v>
      </c>
      <c r="E44" s="5" t="s">
        <v>172</v>
      </c>
      <c r="F44" s="5" t="s">
        <v>173</v>
      </c>
      <c r="G44" s="5" t="s">
        <v>174</v>
      </c>
      <c r="H44" s="7" t="s">
        <v>20</v>
      </c>
    </row>
    <row r="45" ht="22" customHeight="1">
      <c r="A45" s="4">
        <v>41</v>
      </c>
      <c r="B45" s="5" t="s">
        <v>171</v>
      </c>
      <c r="C45" s="5" t="s">
        <v>175</v>
      </c>
      <c r="D45" s="4" t="s">
        <v>12</v>
      </c>
      <c r="E45" s="5" t="s">
        <v>176</v>
      </c>
      <c r="F45" s="5" t="s">
        <v>177</v>
      </c>
      <c r="G45" s="5" t="s">
        <v>178</v>
      </c>
      <c r="H45" s="7" t="s">
        <v>20</v>
      </c>
    </row>
    <row r="46" ht="22" customHeight="1">
      <c r="A46" s="4">
        <v>42</v>
      </c>
      <c r="B46" s="5" t="s">
        <v>171</v>
      </c>
      <c r="C46" s="5" t="s">
        <v>179</v>
      </c>
      <c r="D46" s="4" t="s">
        <v>12</v>
      </c>
      <c r="E46" s="5" t="s">
        <v>180</v>
      </c>
      <c r="F46" s="5" t="s">
        <v>181</v>
      </c>
      <c r="G46" s="5" t="s">
        <v>182</v>
      </c>
      <c r="H46" s="7" t="s">
        <v>20</v>
      </c>
    </row>
    <row r="47" ht="22" customHeight="1">
      <c r="A47" s="4">
        <v>43</v>
      </c>
      <c r="B47" s="5" t="s">
        <v>171</v>
      </c>
      <c r="C47" s="5" t="s">
        <v>183</v>
      </c>
      <c r="D47" s="4" t="s">
        <v>34</v>
      </c>
      <c r="E47" s="5" t="s">
        <v>184</v>
      </c>
      <c r="F47" s="5" t="s">
        <v>185</v>
      </c>
      <c r="G47" s="5" t="s">
        <v>186</v>
      </c>
      <c r="H47" s="7" t="s">
        <v>20</v>
      </c>
    </row>
    <row r="48" ht="22" customHeight="1">
      <c r="A48" s="4">
        <v>44</v>
      </c>
      <c r="B48" s="5" t="s">
        <v>171</v>
      </c>
      <c r="C48" s="5" t="s">
        <v>187</v>
      </c>
      <c r="D48" s="4" t="s">
        <v>34</v>
      </c>
      <c r="E48" s="5" t="s">
        <v>188</v>
      </c>
      <c r="F48" s="5" t="s">
        <v>189</v>
      </c>
      <c r="G48" s="5" t="s">
        <v>190</v>
      </c>
      <c r="H48" s="7" t="s">
        <v>20</v>
      </c>
    </row>
    <row r="49" ht="22" customHeight="1">
      <c r="A49" s="4">
        <v>45</v>
      </c>
      <c r="B49" s="5" t="s">
        <v>171</v>
      </c>
      <c r="C49" s="5" t="s">
        <v>191</v>
      </c>
      <c r="D49" s="4" t="s">
        <v>34</v>
      </c>
      <c r="E49" s="5" t="s">
        <v>192</v>
      </c>
      <c r="F49" s="5" t="s">
        <v>193</v>
      </c>
      <c r="G49" s="5" t="s">
        <v>194</v>
      </c>
      <c r="H49" s="7" t="s">
        <v>20</v>
      </c>
    </row>
    <row r="50" ht="22" customHeight="1">
      <c r="A50" s="4">
        <v>46</v>
      </c>
      <c r="B50" s="5" t="s">
        <v>171</v>
      </c>
      <c r="C50" s="5" t="s">
        <v>195</v>
      </c>
      <c r="D50" s="4" t="s">
        <v>34</v>
      </c>
      <c r="E50" s="5" t="s">
        <v>196</v>
      </c>
      <c r="F50" s="5" t="s">
        <v>197</v>
      </c>
      <c r="G50" s="5" t="s">
        <v>198</v>
      </c>
      <c r="H50" s="7" t="s">
        <v>20</v>
      </c>
    </row>
    <row r="51" ht="22" customHeight="1">
      <c r="A51" s="4">
        <v>47</v>
      </c>
      <c r="B51" s="5" t="s">
        <v>199</v>
      </c>
      <c r="C51" s="5" t="s">
        <v>200</v>
      </c>
      <c r="D51" s="4" t="s">
        <v>12</v>
      </c>
      <c r="E51" s="5" t="s">
        <v>201</v>
      </c>
      <c r="F51" s="5" t="s">
        <v>202</v>
      </c>
      <c r="G51" s="5" t="s">
        <v>203</v>
      </c>
      <c r="H51" s="7" t="s">
        <v>20</v>
      </c>
    </row>
    <row r="52" ht="22" customHeight="1">
      <c r="A52" s="4">
        <v>48</v>
      </c>
      <c r="B52" s="5" t="s">
        <v>199</v>
      </c>
      <c r="C52" s="5" t="s">
        <v>204</v>
      </c>
      <c r="D52" s="4" t="s">
        <v>12</v>
      </c>
      <c r="E52" s="5" t="s">
        <v>205</v>
      </c>
      <c r="F52" s="5" t="s">
        <v>206</v>
      </c>
      <c r="G52" s="5" t="s">
        <v>207</v>
      </c>
      <c r="H52" s="7" t="s">
        <v>20</v>
      </c>
    </row>
    <row r="53" ht="22" customHeight="1">
      <c r="A53" s="4">
        <v>49</v>
      </c>
      <c r="B53" s="5" t="s">
        <v>199</v>
      </c>
      <c r="C53" s="5" t="s">
        <v>208</v>
      </c>
      <c r="D53" s="4" t="s">
        <v>12</v>
      </c>
      <c r="E53" s="5" t="s">
        <v>209</v>
      </c>
      <c r="F53" s="5" t="s">
        <v>210</v>
      </c>
      <c r="G53" s="5" t="s">
        <v>211</v>
      </c>
      <c r="H53" s="7" t="s">
        <v>20</v>
      </c>
    </row>
    <row r="54" ht="22" customHeight="1">
      <c r="A54" s="4">
        <v>50</v>
      </c>
      <c r="B54" s="5" t="s">
        <v>199</v>
      </c>
      <c r="C54" s="5" t="s">
        <v>212</v>
      </c>
      <c r="D54" s="4" t="s">
        <v>12</v>
      </c>
      <c r="E54" s="5" t="s">
        <v>213</v>
      </c>
      <c r="F54" s="5" t="s">
        <v>214</v>
      </c>
      <c r="G54" s="5" t="s">
        <v>215</v>
      </c>
      <c r="H54" s="7" t="s">
        <v>20</v>
      </c>
    </row>
    <row r="55" ht="22" customHeight="1">
      <c r="A55" s="4">
        <v>51</v>
      </c>
      <c r="B55" s="5" t="s">
        <v>199</v>
      </c>
      <c r="C55" s="5" t="s">
        <v>216</v>
      </c>
      <c r="D55" s="4" t="s">
        <v>34</v>
      </c>
      <c r="E55" s="5" t="s">
        <v>217</v>
      </c>
      <c r="F55" s="5" t="s">
        <v>218</v>
      </c>
      <c r="G55" s="5" t="s">
        <v>219</v>
      </c>
      <c r="H55" s="7" t="s">
        <v>20</v>
      </c>
    </row>
    <row r="56" ht="22" customHeight="1">
      <c r="A56" s="4">
        <v>52</v>
      </c>
      <c r="B56" s="5" t="s">
        <v>199</v>
      </c>
      <c r="C56" s="5" t="s">
        <v>220</v>
      </c>
      <c r="D56" s="4" t="s">
        <v>34</v>
      </c>
      <c r="E56" s="5" t="s">
        <v>221</v>
      </c>
      <c r="F56" s="5" t="s">
        <v>222</v>
      </c>
      <c r="G56" s="5" t="s">
        <v>223</v>
      </c>
      <c r="H56" s="7" t="s">
        <v>20</v>
      </c>
    </row>
    <row r="57" ht="22" customHeight="1">
      <c r="A57" s="4">
        <v>53</v>
      </c>
      <c r="B57" s="5" t="s">
        <v>199</v>
      </c>
      <c r="C57" s="5" t="s">
        <v>224</v>
      </c>
      <c r="D57" s="4" t="s">
        <v>34</v>
      </c>
      <c r="E57" s="5" t="s">
        <v>225</v>
      </c>
      <c r="F57" s="5" t="s">
        <v>226</v>
      </c>
      <c r="G57" s="5" t="s">
        <v>227</v>
      </c>
      <c r="H57" s="7" t="s">
        <v>20</v>
      </c>
    </row>
    <row r="58" ht="22" customHeight="1">
      <c r="A58" s="4">
        <v>54</v>
      </c>
      <c r="B58" s="5" t="s">
        <v>199</v>
      </c>
      <c r="C58" s="5" t="s">
        <v>228</v>
      </c>
      <c r="D58" s="4" t="s">
        <v>34</v>
      </c>
      <c r="E58" s="5" t="s">
        <v>229</v>
      </c>
      <c r="F58" s="5" t="s">
        <v>230</v>
      </c>
      <c r="G58" s="5" t="s">
        <v>231</v>
      </c>
      <c r="H58" s="7" t="s">
        <v>20</v>
      </c>
    </row>
    <row r="59" ht="22" customHeight="1">
      <c r="A59" s="4">
        <v>55</v>
      </c>
      <c r="B59" s="5" t="s">
        <v>232</v>
      </c>
      <c r="C59" s="5" t="s">
        <v>233</v>
      </c>
      <c r="D59" s="4" t="s">
        <v>12</v>
      </c>
      <c r="E59" s="5" t="s">
        <v>234</v>
      </c>
      <c r="F59" s="5" t="s">
        <v>235</v>
      </c>
      <c r="G59" s="5" t="s">
        <v>236</v>
      </c>
      <c r="H59" s="7" t="s">
        <v>20</v>
      </c>
    </row>
    <row r="60" ht="22" customHeight="1">
      <c r="A60" s="4">
        <v>56</v>
      </c>
      <c r="B60" s="5" t="s">
        <v>232</v>
      </c>
      <c r="C60" s="5" t="s">
        <v>232</v>
      </c>
      <c r="D60" s="4" t="s">
        <v>12</v>
      </c>
      <c r="E60" s="5" t="s">
        <v>237</v>
      </c>
      <c r="F60" s="5" t="s">
        <v>238</v>
      </c>
      <c r="G60" s="5" t="s">
        <v>239</v>
      </c>
      <c r="H60" s="7" t="s">
        <v>20</v>
      </c>
    </row>
    <row r="61" ht="22" customHeight="1">
      <c r="A61" s="4">
        <v>57</v>
      </c>
      <c r="B61" s="5" t="s">
        <v>232</v>
      </c>
      <c r="C61" s="5" t="s">
        <v>240</v>
      </c>
      <c r="D61" s="4" t="s">
        <v>12</v>
      </c>
      <c r="E61" s="5" t="s">
        <v>241</v>
      </c>
      <c r="F61" s="5" t="s">
        <v>242</v>
      </c>
      <c r="G61" s="5" t="s">
        <v>243</v>
      </c>
      <c r="H61" s="7" t="s">
        <v>20</v>
      </c>
    </row>
    <row r="62" ht="22" customHeight="1">
      <c r="A62" s="4">
        <v>58</v>
      </c>
      <c r="B62" s="5" t="s">
        <v>232</v>
      </c>
      <c r="C62" s="5" t="s">
        <v>244</v>
      </c>
      <c r="D62" s="4" t="s">
        <v>12</v>
      </c>
      <c r="E62" s="5" t="s">
        <v>245</v>
      </c>
      <c r="F62" s="5" t="s">
        <v>246</v>
      </c>
      <c r="G62" s="5" t="s">
        <v>247</v>
      </c>
      <c r="H62" s="7" t="s">
        <v>20</v>
      </c>
    </row>
    <row r="63" ht="22" customHeight="1">
      <c r="A63" s="4">
        <v>59</v>
      </c>
      <c r="B63" s="5" t="s">
        <v>232</v>
      </c>
      <c r="C63" s="5" t="s">
        <v>248</v>
      </c>
      <c r="D63" s="4" t="s">
        <v>34</v>
      </c>
      <c r="E63" s="5" t="s">
        <v>249</v>
      </c>
      <c r="F63" s="5" t="s">
        <v>250</v>
      </c>
      <c r="G63" s="5" t="s">
        <v>251</v>
      </c>
      <c r="H63" s="7" t="s">
        <v>20</v>
      </c>
    </row>
    <row r="64" ht="22" customHeight="1">
      <c r="A64" s="4">
        <v>60</v>
      </c>
      <c r="B64" s="5" t="s">
        <v>232</v>
      </c>
      <c r="C64" s="5" t="s">
        <v>252</v>
      </c>
      <c r="D64" s="4" t="s">
        <v>34</v>
      </c>
      <c r="E64" s="5" t="s">
        <v>253</v>
      </c>
      <c r="F64" s="5" t="s">
        <v>254</v>
      </c>
      <c r="G64" s="5" t="s">
        <v>255</v>
      </c>
      <c r="H64" s="7" t="s">
        <v>20</v>
      </c>
    </row>
    <row r="65" ht="22" customHeight="1">
      <c r="A65" s="4">
        <v>61</v>
      </c>
      <c r="B65" s="5" t="s">
        <v>256</v>
      </c>
      <c r="C65" s="5" t="s">
        <v>257</v>
      </c>
      <c r="D65" s="4" t="s">
        <v>12</v>
      </c>
      <c r="E65" s="5" t="s">
        <v>258</v>
      </c>
      <c r="F65" s="5" t="s">
        <v>259</v>
      </c>
      <c r="G65" s="5" t="s">
        <v>260</v>
      </c>
      <c r="H65" s="7" t="s">
        <v>20</v>
      </c>
    </row>
    <row r="66" ht="22" customHeight="1">
      <c r="A66" s="4">
        <v>62</v>
      </c>
      <c r="B66" s="5" t="s">
        <v>256</v>
      </c>
      <c r="C66" s="5" t="s">
        <v>261</v>
      </c>
      <c r="D66" s="4" t="s">
        <v>12</v>
      </c>
      <c r="E66" s="5" t="s">
        <v>262</v>
      </c>
      <c r="F66" s="5" t="s">
        <v>263</v>
      </c>
      <c r="G66" s="5" t="s">
        <v>264</v>
      </c>
      <c r="H66" s="7" t="s">
        <v>20</v>
      </c>
    </row>
    <row r="67" ht="22" customHeight="1">
      <c r="A67" s="4">
        <v>63</v>
      </c>
      <c r="B67" s="5" t="s">
        <v>256</v>
      </c>
      <c r="C67" s="5" t="s">
        <v>265</v>
      </c>
      <c r="D67" s="4" t="s">
        <v>12</v>
      </c>
      <c r="E67" s="5" t="s">
        <v>266</v>
      </c>
      <c r="F67" s="5" t="s">
        <v>267</v>
      </c>
      <c r="G67" s="5" t="s">
        <v>268</v>
      </c>
      <c r="H67" s="7" t="s">
        <v>20</v>
      </c>
    </row>
    <row r="68" ht="22" customHeight="1">
      <c r="A68" s="4">
        <v>64</v>
      </c>
      <c r="B68" s="5" t="s">
        <v>256</v>
      </c>
      <c r="C68" s="5" t="s">
        <v>269</v>
      </c>
      <c r="D68" s="4" t="s">
        <v>12</v>
      </c>
      <c r="E68" s="5" t="s">
        <v>270</v>
      </c>
      <c r="F68" s="5" t="s">
        <v>271</v>
      </c>
      <c r="G68" s="5" t="s">
        <v>272</v>
      </c>
      <c r="H68" s="7" t="s">
        <v>20</v>
      </c>
    </row>
    <row r="69" ht="22" customHeight="1">
      <c r="A69" s="4">
        <v>65</v>
      </c>
      <c r="B69" s="5" t="s">
        <v>256</v>
      </c>
      <c r="C69" s="5" t="s">
        <v>273</v>
      </c>
      <c r="D69" s="4" t="s">
        <v>34</v>
      </c>
      <c r="E69" s="5" t="s">
        <v>274</v>
      </c>
      <c r="F69" s="5" t="s">
        <v>275</v>
      </c>
      <c r="G69" s="5" t="s">
        <v>276</v>
      </c>
      <c r="H69" s="7" t="s">
        <v>20</v>
      </c>
    </row>
    <row r="70" ht="22" customHeight="1">
      <c r="A70" s="4">
        <v>66</v>
      </c>
      <c r="B70" s="5" t="s">
        <v>256</v>
      </c>
      <c r="C70" s="5" t="s">
        <v>277</v>
      </c>
      <c r="D70" s="4" t="s">
        <v>34</v>
      </c>
      <c r="E70" s="5" t="s">
        <v>278</v>
      </c>
      <c r="F70" s="5" t="s">
        <v>279</v>
      </c>
      <c r="G70" s="5" t="s">
        <v>280</v>
      </c>
      <c r="H70" s="7" t="s">
        <v>20</v>
      </c>
    </row>
    <row r="71" ht="22" customHeight="1">
      <c r="A71" s="4">
        <v>67</v>
      </c>
      <c r="B71" s="5" t="s">
        <v>256</v>
      </c>
      <c r="C71" s="5" t="s">
        <v>281</v>
      </c>
      <c r="D71" s="4" t="s">
        <v>34</v>
      </c>
      <c r="E71" s="5" t="s">
        <v>282</v>
      </c>
      <c r="F71" s="5" t="s">
        <v>283</v>
      </c>
      <c r="G71" s="5" t="s">
        <v>284</v>
      </c>
      <c r="H71" s="7" t="s">
        <v>20</v>
      </c>
    </row>
    <row r="72" ht="22" customHeight="1">
      <c r="A72" s="4">
        <v>68</v>
      </c>
      <c r="B72" s="5" t="s">
        <v>256</v>
      </c>
      <c r="C72" s="5" t="s">
        <v>285</v>
      </c>
      <c r="D72" s="4" t="s">
        <v>34</v>
      </c>
      <c r="E72" s="5" t="s">
        <v>286</v>
      </c>
      <c r="F72" s="5" t="s">
        <v>287</v>
      </c>
      <c r="G72" s="5" t="s">
        <v>288</v>
      </c>
      <c r="H72" s="7" t="s">
        <v>20</v>
      </c>
    </row>
    <row r="73" ht="22" customHeight="1">
      <c r="A73" s="4">
        <v>69</v>
      </c>
      <c r="B73" s="5" t="s">
        <v>289</v>
      </c>
      <c r="C73" s="5" t="s">
        <v>289</v>
      </c>
      <c r="D73" s="4" t="s">
        <v>12</v>
      </c>
      <c r="E73" s="5" t="s">
        <v>290</v>
      </c>
      <c r="F73" s="5" t="s">
        <v>291</v>
      </c>
      <c r="G73" s="5" t="s">
        <v>292</v>
      </c>
      <c r="H73" s="7" t="s">
        <v>20</v>
      </c>
    </row>
    <row r="74" ht="22" customHeight="1">
      <c r="A74" s="4">
        <v>70</v>
      </c>
      <c r="B74" s="5" t="s">
        <v>289</v>
      </c>
      <c r="C74" s="5" t="s">
        <v>293</v>
      </c>
      <c r="D74" s="4" t="s">
        <v>12</v>
      </c>
      <c r="E74" s="5" t="s">
        <v>294</v>
      </c>
      <c r="F74" s="5" t="s">
        <v>295</v>
      </c>
      <c r="G74" s="5" t="s">
        <v>296</v>
      </c>
      <c r="H74" s="7" t="s">
        <v>20</v>
      </c>
    </row>
    <row r="75" ht="22" customHeight="1">
      <c r="A75" s="4">
        <v>71</v>
      </c>
      <c r="B75" s="5" t="s">
        <v>289</v>
      </c>
      <c r="C75" s="5" t="s">
        <v>297</v>
      </c>
      <c r="D75" s="4" t="s">
        <v>12</v>
      </c>
      <c r="E75" s="5" t="s">
        <v>298</v>
      </c>
      <c r="F75" s="5" t="s">
        <v>299</v>
      </c>
      <c r="G75" s="5" t="s">
        <v>300</v>
      </c>
      <c r="H75" s="7" t="s">
        <v>20</v>
      </c>
    </row>
    <row r="76" ht="22" customHeight="1">
      <c r="A76" s="4">
        <v>72</v>
      </c>
      <c r="B76" s="5" t="s">
        <v>289</v>
      </c>
      <c r="C76" s="5" t="s">
        <v>301</v>
      </c>
      <c r="D76" s="4" t="s">
        <v>12</v>
      </c>
      <c r="E76" s="5" t="s">
        <v>302</v>
      </c>
      <c r="F76" s="5" t="s">
        <v>303</v>
      </c>
      <c r="G76" s="5" t="s">
        <v>304</v>
      </c>
      <c r="H76" s="7" t="s">
        <v>20</v>
      </c>
    </row>
    <row r="77" ht="22" customHeight="1">
      <c r="A77" s="4">
        <v>73</v>
      </c>
      <c r="B77" s="5" t="s">
        <v>289</v>
      </c>
      <c r="C77" s="5" t="s">
        <v>305</v>
      </c>
      <c r="D77" s="4" t="s">
        <v>34</v>
      </c>
      <c r="E77" s="5" t="s">
        <v>306</v>
      </c>
      <c r="F77" s="5" t="s">
        <v>307</v>
      </c>
      <c r="G77" s="5" t="s">
        <v>308</v>
      </c>
      <c r="H77" s="7" t="s">
        <v>20</v>
      </c>
    </row>
    <row r="78" ht="22" customHeight="1">
      <c r="A78" s="4">
        <v>74</v>
      </c>
      <c r="B78" s="5" t="s">
        <v>289</v>
      </c>
      <c r="C78" s="5" t="s">
        <v>309</v>
      </c>
      <c r="D78" s="4" t="s">
        <v>34</v>
      </c>
      <c r="E78" s="5" t="s">
        <v>310</v>
      </c>
      <c r="F78" s="5" t="s">
        <v>311</v>
      </c>
      <c r="G78" s="5" t="s">
        <v>312</v>
      </c>
      <c r="H78" s="7" t="s">
        <v>20</v>
      </c>
    </row>
    <row r="79" ht="22" customHeight="1">
      <c r="A79" s="4">
        <v>75</v>
      </c>
      <c r="B79" s="5" t="s">
        <v>289</v>
      </c>
      <c r="C79" s="5" t="s">
        <v>313</v>
      </c>
      <c r="D79" s="4" t="s">
        <v>34</v>
      </c>
      <c r="E79" s="5" t="s">
        <v>314</v>
      </c>
      <c r="F79" s="5" t="s">
        <v>315</v>
      </c>
      <c r="G79" s="5" t="s">
        <v>316</v>
      </c>
      <c r="H79" s="7" t="s">
        <v>20</v>
      </c>
    </row>
    <row r="80" ht="22" customHeight="1">
      <c r="A80" s="4">
        <v>76</v>
      </c>
      <c r="B80" s="5" t="s">
        <v>289</v>
      </c>
      <c r="C80" s="5" t="s">
        <v>317</v>
      </c>
      <c r="D80" s="4" t="s">
        <v>34</v>
      </c>
      <c r="E80" s="5" t="s">
        <v>318</v>
      </c>
      <c r="F80" s="5" t="s">
        <v>319</v>
      </c>
      <c r="G80" s="5" t="s">
        <v>320</v>
      </c>
      <c r="H80" s="7" t="s">
        <v>20</v>
      </c>
    </row>
    <row r="81" ht="22" customHeight="1">
      <c r="A81" s="4">
        <v>77</v>
      </c>
      <c r="B81" s="5" t="s">
        <v>321</v>
      </c>
      <c r="C81" s="5" t="s">
        <v>321</v>
      </c>
      <c r="D81" s="4" t="s">
        <v>12</v>
      </c>
      <c r="E81" s="5" t="s">
        <v>322</v>
      </c>
      <c r="F81" s="5" t="s">
        <v>323</v>
      </c>
      <c r="G81" s="5" t="s">
        <v>324</v>
      </c>
      <c r="H81" s="7" t="s">
        <v>20</v>
      </c>
    </row>
    <row r="82" ht="22" customHeight="1">
      <c r="A82" s="4">
        <v>78</v>
      </c>
      <c r="B82" s="5" t="s">
        <v>321</v>
      </c>
      <c r="C82" s="5" t="s">
        <v>325</v>
      </c>
      <c r="D82" s="4" t="s">
        <v>12</v>
      </c>
      <c r="E82" s="5" t="s">
        <v>326</v>
      </c>
      <c r="F82" s="5" t="s">
        <v>327</v>
      </c>
      <c r="G82" s="5" t="s">
        <v>328</v>
      </c>
      <c r="H82" s="7" t="s">
        <v>20</v>
      </c>
    </row>
    <row r="83" ht="22" customHeight="1">
      <c r="A83" s="4">
        <v>79</v>
      </c>
      <c r="B83" s="5" t="s">
        <v>321</v>
      </c>
      <c r="C83" s="5" t="s">
        <v>329</v>
      </c>
      <c r="D83" s="4" t="s">
        <v>12</v>
      </c>
      <c r="E83" s="5" t="s">
        <v>330</v>
      </c>
      <c r="F83" s="5" t="s">
        <v>331</v>
      </c>
      <c r="G83" s="5" t="s">
        <v>332</v>
      </c>
      <c r="H83" s="7" t="s">
        <v>20</v>
      </c>
    </row>
    <row r="84" ht="22" customHeight="1">
      <c r="A84" s="4">
        <v>80</v>
      </c>
      <c r="B84" s="5" t="s">
        <v>321</v>
      </c>
      <c r="C84" s="5" t="s">
        <v>333</v>
      </c>
      <c r="D84" s="4" t="s">
        <v>12</v>
      </c>
      <c r="E84" s="5" t="s">
        <v>334</v>
      </c>
      <c r="F84" s="5" t="s">
        <v>335</v>
      </c>
      <c r="G84" s="5" t="s">
        <v>336</v>
      </c>
      <c r="H84" s="7" t="s">
        <v>20</v>
      </c>
    </row>
    <row r="85" ht="22" customHeight="1">
      <c r="A85" s="4">
        <v>81</v>
      </c>
      <c r="B85" s="5" t="s">
        <v>321</v>
      </c>
      <c r="C85" s="5" t="s">
        <v>337</v>
      </c>
      <c r="D85" s="4" t="s">
        <v>34</v>
      </c>
      <c r="E85" s="5" t="s">
        <v>338</v>
      </c>
      <c r="F85" s="5" t="s">
        <v>339</v>
      </c>
      <c r="G85" s="5" t="s">
        <v>340</v>
      </c>
      <c r="H85" s="7" t="s">
        <v>20</v>
      </c>
    </row>
    <row r="86" ht="22" customHeight="1">
      <c r="A86" s="4">
        <v>82</v>
      </c>
      <c r="B86" s="5" t="s">
        <v>321</v>
      </c>
      <c r="C86" s="5" t="s">
        <v>341</v>
      </c>
      <c r="D86" s="4" t="s">
        <v>34</v>
      </c>
      <c r="E86" s="5" t="s">
        <v>342</v>
      </c>
      <c r="F86" s="5" t="s">
        <v>343</v>
      </c>
      <c r="G86" s="5" t="s">
        <v>344</v>
      </c>
      <c r="H86" s="7" t="s">
        <v>20</v>
      </c>
    </row>
    <row r="87" ht="22" customHeight="1">
      <c r="A87" s="4">
        <v>83</v>
      </c>
      <c r="B87" s="5" t="s">
        <v>321</v>
      </c>
      <c r="C87" s="5" t="s">
        <v>345</v>
      </c>
      <c r="D87" s="4" t="s">
        <v>34</v>
      </c>
      <c r="E87" s="5" t="s">
        <v>346</v>
      </c>
      <c r="F87" s="5" t="s">
        <v>347</v>
      </c>
      <c r="G87" s="5" t="s">
        <v>348</v>
      </c>
      <c r="H87" s="7" t="s">
        <v>20</v>
      </c>
    </row>
    <row r="88" ht="22" customHeight="1">
      <c r="A88" s="4">
        <v>84</v>
      </c>
      <c r="B88" s="5" t="s">
        <v>349</v>
      </c>
      <c r="C88" s="5" t="s">
        <v>350</v>
      </c>
      <c r="D88" s="4" t="s">
        <v>12</v>
      </c>
      <c r="E88" s="5" t="s">
        <v>351</v>
      </c>
      <c r="F88" s="5" t="s">
        <v>352</v>
      </c>
      <c r="G88" s="5" t="s">
        <v>353</v>
      </c>
      <c r="H88" s="7" t="s">
        <v>20</v>
      </c>
    </row>
    <row r="89" ht="22" customHeight="1">
      <c r="A89" s="4">
        <v>85</v>
      </c>
      <c r="B89" s="5" t="s">
        <v>349</v>
      </c>
      <c r="C89" s="5" t="s">
        <v>354</v>
      </c>
      <c r="D89" s="4" t="s">
        <v>12</v>
      </c>
      <c r="E89" s="5" t="s">
        <v>355</v>
      </c>
      <c r="F89" s="5" t="s">
        <v>356</v>
      </c>
      <c r="G89" s="5" t="s">
        <v>357</v>
      </c>
      <c r="H89" s="7" t="s">
        <v>20</v>
      </c>
    </row>
    <row r="90" ht="22" customHeight="1">
      <c r="A90" s="4">
        <v>86</v>
      </c>
      <c r="B90" s="5" t="s">
        <v>349</v>
      </c>
      <c r="C90" s="5" t="s">
        <v>358</v>
      </c>
      <c r="D90" s="4" t="s">
        <v>12</v>
      </c>
      <c r="E90" s="5" t="s">
        <v>359</v>
      </c>
      <c r="F90" s="5" t="s">
        <v>360</v>
      </c>
      <c r="G90" s="5" t="s">
        <v>361</v>
      </c>
      <c r="H90" s="7" t="s">
        <v>20</v>
      </c>
    </row>
    <row r="91" ht="22" customHeight="1">
      <c r="A91" s="4">
        <v>87</v>
      </c>
      <c r="B91" s="5" t="s">
        <v>349</v>
      </c>
      <c r="C91" s="5" t="s">
        <v>362</v>
      </c>
      <c r="D91" s="4" t="s">
        <v>12</v>
      </c>
      <c r="E91" s="5" t="s">
        <v>363</v>
      </c>
      <c r="F91" s="5" t="s">
        <v>364</v>
      </c>
      <c r="G91" s="5" t="s">
        <v>365</v>
      </c>
      <c r="H91" s="7" t="s">
        <v>20</v>
      </c>
    </row>
    <row r="92" ht="22" customHeight="1">
      <c r="A92" s="4">
        <v>88</v>
      </c>
      <c r="B92" s="5" t="s">
        <v>349</v>
      </c>
      <c r="C92" s="5" t="s">
        <v>366</v>
      </c>
      <c r="D92" s="4" t="s">
        <v>12</v>
      </c>
      <c r="E92" s="5" t="s">
        <v>367</v>
      </c>
      <c r="F92" s="5" t="s">
        <v>368</v>
      </c>
      <c r="G92" s="5" t="s">
        <v>369</v>
      </c>
      <c r="H92" s="7" t="s">
        <v>20</v>
      </c>
    </row>
    <row r="93" ht="22" customHeight="1">
      <c r="A93" s="4">
        <v>89</v>
      </c>
      <c r="B93" s="5" t="s">
        <v>349</v>
      </c>
      <c r="C93" s="5" t="s">
        <v>370</v>
      </c>
      <c r="D93" s="4" t="s">
        <v>34</v>
      </c>
      <c r="E93" s="5" t="s">
        <v>371</v>
      </c>
      <c r="F93" s="5" t="s">
        <v>372</v>
      </c>
      <c r="G93" s="5" t="s">
        <v>373</v>
      </c>
      <c r="H93" s="7" t="s">
        <v>20</v>
      </c>
    </row>
    <row r="94" ht="22" customHeight="1">
      <c r="A94" s="4">
        <v>90</v>
      </c>
      <c r="B94" s="5" t="s">
        <v>349</v>
      </c>
      <c r="C94" s="5" t="s">
        <v>374</v>
      </c>
      <c r="D94" s="4" t="s">
        <v>34</v>
      </c>
      <c r="E94" s="5" t="s">
        <v>375</v>
      </c>
      <c r="F94" s="5" t="s">
        <v>376</v>
      </c>
      <c r="G94" s="5" t="s">
        <v>377</v>
      </c>
      <c r="H94" s="7" t="s">
        <v>20</v>
      </c>
    </row>
    <row r="95" ht="22" customHeight="1">
      <c r="A95" s="4">
        <v>91</v>
      </c>
      <c r="B95" s="5" t="s">
        <v>349</v>
      </c>
      <c r="C95" s="5" t="s">
        <v>378</v>
      </c>
      <c r="D95" s="4" t="s">
        <v>34</v>
      </c>
      <c r="E95" s="5" t="s">
        <v>379</v>
      </c>
      <c r="F95" s="5" t="s">
        <v>380</v>
      </c>
      <c r="G95" s="5" t="s">
        <v>381</v>
      </c>
      <c r="H95" s="7" t="s">
        <v>20</v>
      </c>
    </row>
    <row r="96" ht="22" customHeight="1">
      <c r="A96" s="4">
        <v>92</v>
      </c>
      <c r="B96" s="5" t="s">
        <v>382</v>
      </c>
      <c r="C96" s="5" t="s">
        <v>382</v>
      </c>
      <c r="D96" s="4" t="s">
        <v>12</v>
      </c>
      <c r="E96" s="5" t="s">
        <v>383</v>
      </c>
      <c r="F96" s="5" t="s">
        <v>384</v>
      </c>
      <c r="G96" s="5" t="s">
        <v>385</v>
      </c>
      <c r="H96" s="7" t="s">
        <v>20</v>
      </c>
    </row>
    <row r="97" ht="22" customHeight="1">
      <c r="A97" s="4">
        <v>93</v>
      </c>
      <c r="B97" s="5" t="s">
        <v>382</v>
      </c>
      <c r="C97" s="5" t="s">
        <v>386</v>
      </c>
      <c r="D97" s="4" t="s">
        <v>12</v>
      </c>
      <c r="E97" s="5" t="s">
        <v>387</v>
      </c>
      <c r="F97" s="5" t="s">
        <v>388</v>
      </c>
      <c r="G97" s="5" t="s">
        <v>389</v>
      </c>
      <c r="H97" s="7" t="s">
        <v>20</v>
      </c>
    </row>
    <row r="98" ht="22" customHeight="1">
      <c r="A98" s="4">
        <v>94</v>
      </c>
      <c r="B98" s="5" t="s">
        <v>382</v>
      </c>
      <c r="C98" s="5" t="s">
        <v>390</v>
      </c>
      <c r="D98" s="4" t="s">
        <v>12</v>
      </c>
      <c r="E98" s="5" t="s">
        <v>391</v>
      </c>
      <c r="F98" s="5" t="s">
        <v>392</v>
      </c>
      <c r="G98" s="5" t="s">
        <v>393</v>
      </c>
      <c r="H98" s="7" t="s">
        <v>20</v>
      </c>
    </row>
    <row r="99" ht="22" customHeight="1">
      <c r="A99" s="4">
        <v>95</v>
      </c>
      <c r="B99" s="5" t="s">
        <v>382</v>
      </c>
      <c r="C99" s="5" t="s">
        <v>394</v>
      </c>
      <c r="D99" s="4" t="s">
        <v>12</v>
      </c>
      <c r="E99" s="5" t="s">
        <v>395</v>
      </c>
      <c r="F99" s="5" t="s">
        <v>396</v>
      </c>
      <c r="G99" s="5" t="s">
        <v>397</v>
      </c>
      <c r="H99" s="7" t="s">
        <v>20</v>
      </c>
    </row>
    <row r="100" ht="22" customHeight="1">
      <c r="A100" s="4">
        <v>96</v>
      </c>
      <c r="B100" s="5" t="s">
        <v>382</v>
      </c>
      <c r="C100" s="5" t="s">
        <v>398</v>
      </c>
      <c r="D100" s="4" t="s">
        <v>34</v>
      </c>
      <c r="E100" s="5" t="s">
        <v>399</v>
      </c>
      <c r="F100" s="5" t="s">
        <v>400</v>
      </c>
      <c r="G100" s="5" t="s">
        <v>401</v>
      </c>
      <c r="H100" s="7" t="s">
        <v>20</v>
      </c>
    </row>
    <row r="101" ht="22" customHeight="1">
      <c r="A101" s="4">
        <v>97</v>
      </c>
      <c r="B101" s="5" t="s">
        <v>382</v>
      </c>
      <c r="C101" s="5" t="s">
        <v>402</v>
      </c>
      <c r="D101" s="4" t="s">
        <v>34</v>
      </c>
      <c r="E101" s="5" t="s">
        <v>403</v>
      </c>
      <c r="F101" s="5" t="s">
        <v>404</v>
      </c>
      <c r="G101" s="5" t="s">
        <v>405</v>
      </c>
      <c r="H101" s="7" t="s">
        <v>20</v>
      </c>
    </row>
    <row r="102" ht="22" customHeight="1">
      <c r="A102" s="4">
        <v>98</v>
      </c>
      <c r="B102" s="5" t="s">
        <v>382</v>
      </c>
      <c r="C102" s="5" t="s">
        <v>406</v>
      </c>
      <c r="D102" s="4" t="s">
        <v>34</v>
      </c>
      <c r="E102" s="5" t="s">
        <v>407</v>
      </c>
      <c r="F102" s="5" t="s">
        <v>408</v>
      </c>
      <c r="G102" s="5" t="s">
        <v>409</v>
      </c>
      <c r="H102" s="7" t="s">
        <v>20</v>
      </c>
    </row>
    <row r="103" ht="22" customHeight="1">
      <c r="A103" s="4">
        <v>99</v>
      </c>
      <c r="B103" s="5" t="s">
        <v>382</v>
      </c>
      <c r="C103" s="5" t="s">
        <v>410</v>
      </c>
      <c r="D103" s="4" t="s">
        <v>34</v>
      </c>
      <c r="E103" s="5" t="s">
        <v>411</v>
      </c>
      <c r="F103" s="5" t="s">
        <v>412</v>
      </c>
      <c r="G103" s="5" t="s">
        <v>413</v>
      </c>
      <c r="H103" s="7" t="s">
        <v>20</v>
      </c>
    </row>
  </sheetData>
  <mergeCells count="2">
    <mergeCell ref="A1:H1"/>
    <mergeCell ref="A2:H2"/>
  </mergeCells>
  <hyperlinks>
    <hyperlink r:id="rId1" ref="H6"/>
    <hyperlink r:id="rId1" ref="H7"/>
    <hyperlink r:id="rId1" ref="H8"/>
    <hyperlink r:id="rId1" ref="H9"/>
    <hyperlink r:id="rId1" ref="H10"/>
    <hyperlink r:id="rId1" ref="H11"/>
    <hyperlink r:id="rId1" ref="H12"/>
    <hyperlink r:id="rId1" ref="H13"/>
    <hyperlink r:id="rId1" ref="H14"/>
    <hyperlink r:id="rId1" ref="H15"/>
    <hyperlink r:id="rId1" ref="H16"/>
    <hyperlink r:id="rId1" ref="H17"/>
    <hyperlink r:id="rId1" ref="H18"/>
    <hyperlink r:id="rId1" ref="H19"/>
    <hyperlink r:id="rId1" ref="H20"/>
    <hyperlink r:id="rId1" ref="H21"/>
    <hyperlink r:id="rId1" ref="H22"/>
    <hyperlink r:id="rId1" ref="H23"/>
    <hyperlink r:id="rId1" ref="H24"/>
    <hyperlink r:id="rId1" ref="H25"/>
    <hyperlink r:id="rId1" ref="H26"/>
    <hyperlink r:id="rId1" ref="H27"/>
    <hyperlink r:id="rId1" ref="H28"/>
    <hyperlink r:id="rId1" ref="H29"/>
    <hyperlink r:id="rId1" ref="H30"/>
    <hyperlink r:id="rId1" ref="H31"/>
    <hyperlink r:id="rId1" ref="H32"/>
    <hyperlink r:id="rId1" ref="H33"/>
    <hyperlink r:id="rId1" ref="H34"/>
    <hyperlink r:id="rId1" ref="H35"/>
    <hyperlink r:id="rId1" ref="H36"/>
    <hyperlink r:id="rId1" ref="H37"/>
    <hyperlink r:id="rId1" ref="H38"/>
    <hyperlink r:id="rId1" ref="H39"/>
    <hyperlink r:id="rId1" ref="H40"/>
    <hyperlink r:id="rId1" ref="H41"/>
    <hyperlink r:id="rId1" ref="H42"/>
    <hyperlink r:id="rId1" ref="H43"/>
    <hyperlink r:id="rId1" ref="H44"/>
    <hyperlink r:id="rId1" ref="H45"/>
    <hyperlink r:id="rId1" ref="H46"/>
    <hyperlink r:id="rId1" ref="H47"/>
    <hyperlink r:id="rId1" ref="H48"/>
    <hyperlink r:id="rId1" ref="H49"/>
    <hyperlink r:id="rId1" ref="H50"/>
    <hyperlink r:id="rId1" ref="H51"/>
    <hyperlink r:id="rId1" ref="H52"/>
    <hyperlink r:id="rId1" ref="H53"/>
    <hyperlink r:id="rId1" ref="H54"/>
    <hyperlink r:id="rId1" ref="H55"/>
    <hyperlink r:id="rId1" ref="H56"/>
    <hyperlink r:id="rId1" ref="H57"/>
    <hyperlink r:id="rId1" ref="H58"/>
    <hyperlink r:id="rId1" ref="H59"/>
    <hyperlink r:id="rId1" ref="H60"/>
    <hyperlink r:id="rId1" ref="H61"/>
    <hyperlink r:id="rId1" ref="H62"/>
    <hyperlink r:id="rId1" ref="H63"/>
    <hyperlink r:id="rId1" ref="H64"/>
    <hyperlink r:id="rId1" ref="H65"/>
    <hyperlink r:id="rId1" ref="H66"/>
    <hyperlink r:id="rId1" ref="H67"/>
    <hyperlink r:id="rId1" ref="H68"/>
    <hyperlink r:id="rId1" ref="H69"/>
    <hyperlink r:id="rId1" ref="H70"/>
    <hyperlink r:id="rId1" ref="H71"/>
    <hyperlink r:id="rId1" ref="H72"/>
    <hyperlink r:id="rId1" ref="H73"/>
    <hyperlink r:id="rId1" ref="H74"/>
    <hyperlink r:id="rId1" ref="H75"/>
    <hyperlink r:id="rId1" ref="H76"/>
    <hyperlink r:id="rId1" ref="H77"/>
    <hyperlink r:id="rId1" ref="H78"/>
    <hyperlink r:id="rId1" ref="H79"/>
    <hyperlink r:id="rId1" ref="H80"/>
    <hyperlink r:id="rId1" ref="H81"/>
    <hyperlink r:id="rId1" ref="H82"/>
    <hyperlink r:id="rId1" ref="H83"/>
    <hyperlink r:id="rId1" ref="H84"/>
    <hyperlink r:id="rId1" ref="H85"/>
    <hyperlink r:id="rId1" ref="H86"/>
    <hyperlink r:id="rId1" ref="H87"/>
    <hyperlink r:id="rId1" ref="H88"/>
    <hyperlink r:id="rId1" ref="H89"/>
    <hyperlink r:id="rId1" ref="H90"/>
    <hyperlink r:id="rId1" ref="H91"/>
    <hyperlink r:id="rId1" ref="H92"/>
    <hyperlink r:id="rId1" ref="H93"/>
    <hyperlink r:id="rId1" ref="H94"/>
    <hyperlink r:id="rId1" ref="H95"/>
    <hyperlink r:id="rId1" ref="H96"/>
    <hyperlink r:id="rId1" ref="H97"/>
    <hyperlink r:id="rId1" ref="H98"/>
    <hyperlink r:id="rId1" ref="H99"/>
    <hyperlink r:id="rId1" ref="H100"/>
    <hyperlink r:id="rId1" ref="H101"/>
    <hyperlink r:id="rId1" ref="H102"/>
    <hyperlink r:id="rId1" ref="H103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9E363CD-70FD-4295-858C-61354CCFF77A}">
            <xm:f>D5="High"</xm:f>
            <x14:dxf>
              <font>
                <b/>
                <color rgb="FF166534"/>
              </font>
              <fill>
                <patternFill patternType="solid">
                  <fgColor rgb="FFDFF3E6"/>
                  <bgColor rgb="FFDFF3E6"/>
                </patternFill>
              </fill>
            </x14:dxf>
          </x14:cfRule>
          <xm:sqref>D5:D103</xm:sqref>
        </x14:conditionalFormatting>
        <x14:conditionalFormatting xmlns:xm="http://schemas.microsoft.com/office/excel/2006/main">
          <x14:cfRule type="expression" priority="2" id="{58E32DB3-6BF0-4615-A304-074096CE5B22}">
            <xm:f>D5="Medium"</xm:f>
            <x14:dxf>
              <font>
                <color rgb="FF7A5B00"/>
              </font>
              <fill>
                <patternFill patternType="solid">
                  <fgColor rgb="FFFFF4CE"/>
                  <bgColor rgb="FFFFF4CE"/>
                </patternFill>
              </fill>
            </x14:dxf>
          </x14:cfRule>
          <xm:sqref>D5:D103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320130D4-8769-4A94-A0E1-F8DCFB717748}" type="list" allowBlank="0" errorStyle="stop" imeMode="noControl" operator="between" showDropDown="0" showErrorMessage="0" showInputMessage="0">
          <x14:formula1>
            <xm:f>"High,Medium"</xm:f>
          </x14:formula1>
          <xm:sqref>D5:D103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4"/>
    <col customWidth="1" min="2" max="4" width="16"/>
  </cols>
  <sheetData>
    <row r="1" ht="30" customHeight="1">
      <c r="A1" s="1" t="s">
        <v>414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8" t="s">
        <v>415</v>
      </c>
      <c r="B3" s="8" t="s">
        <v>416</v>
      </c>
      <c r="D3" s="8" t="s">
        <v>417</v>
      </c>
      <c r="E3" s="8" t="s">
        <v>418</v>
      </c>
    </row>
    <row r="4">
      <c r="A4" s="9">
        <v>13</v>
      </c>
      <c r="B4" s="9">
        <v>99</v>
      </c>
      <c r="D4" s="9">
        <f>COUNTIF('SEO Location Plan'!$D$5:$D$103,"High")</f>
        <v>58</v>
      </c>
      <c r="E4" s="9">
        <f>COUNTIF('SEO Location Plan'!$D$5:$D$103,"Medium")</f>
        <v>41</v>
      </c>
    </row>
    <row r="6">
      <c r="A6" s="3" t="s">
        <v>3</v>
      </c>
      <c r="B6" s="3" t="s">
        <v>419</v>
      </c>
      <c r="C6" s="3" t="s">
        <v>417</v>
      </c>
      <c r="D6" s="3" t="s">
        <v>418</v>
      </c>
    </row>
    <row r="7" ht="22" customHeight="1">
      <c r="A7" t="s">
        <v>10</v>
      </c>
      <c r="B7">
        <f>COUNTIF('SEO Location Plan'!$B$5:$B$103,A7)</f>
        <v>8</v>
      </c>
      <c r="C7">
        <f>COUNTIFS('SEO Location Plan'!$B$5:$B$103,A7,'SEO Location Plan'!$D$5:$D$103,"High")</f>
        <v>5</v>
      </c>
      <c r="D7">
        <f>COUNTIFS('SEO Location Plan'!$B$5:$B$103,A7,'SEO Location Plan'!$D$5:$D$103,"Medium")</f>
        <v>3</v>
      </c>
    </row>
    <row r="8" ht="22" customHeight="1">
      <c r="A8" t="s">
        <v>46</v>
      </c>
      <c r="B8">
        <f>COUNTIF('SEO Location Plan'!$B$5:$B$103,A8)</f>
        <v>8</v>
      </c>
      <c r="C8">
        <f>COUNTIFS('SEO Location Plan'!$B$5:$B$103,A8,'SEO Location Plan'!$D$5:$D$103,"High")</f>
        <v>6</v>
      </c>
      <c r="D8">
        <f>COUNTIFS('SEO Location Plan'!$B$5:$B$103,A8,'SEO Location Plan'!$D$5:$D$103,"Medium")</f>
        <v>2</v>
      </c>
    </row>
    <row r="9" ht="22" customHeight="1">
      <c r="A9" t="s">
        <v>78</v>
      </c>
      <c r="B9">
        <f>COUNTIF('SEO Location Plan'!$B$5:$B$103,A9)</f>
        <v>8</v>
      </c>
      <c r="C9">
        <f>COUNTIFS('SEO Location Plan'!$B$5:$B$103,A9,'SEO Location Plan'!$D$5:$D$103,"High")</f>
        <v>6</v>
      </c>
      <c r="D9">
        <f>COUNTIFS('SEO Location Plan'!$B$5:$B$103,A9,'SEO Location Plan'!$D$5:$D$103,"Medium")</f>
        <v>2</v>
      </c>
    </row>
    <row r="10" ht="22" customHeight="1">
      <c r="A10" t="s">
        <v>110</v>
      </c>
      <c r="B10">
        <f>COUNTIF('SEO Location Plan'!$B$5:$B$103,A10)</f>
        <v>8</v>
      </c>
      <c r="C10">
        <f>COUNTIFS('SEO Location Plan'!$B$5:$B$103,A10,'SEO Location Plan'!$D$5:$D$103,"High")</f>
        <v>6</v>
      </c>
      <c r="D10">
        <f>COUNTIFS('SEO Location Plan'!$B$5:$B$103,A10,'SEO Location Plan'!$D$5:$D$103,"Medium")</f>
        <v>2</v>
      </c>
    </row>
    <row r="11" ht="22" customHeight="1">
      <c r="A11" t="s">
        <v>143</v>
      </c>
      <c r="B11">
        <f>COUNTIF('SEO Location Plan'!$B$5:$B$103,A11)</f>
        <v>7</v>
      </c>
      <c r="C11">
        <f>COUNTIFS('SEO Location Plan'!$B$5:$B$103,A11,'SEO Location Plan'!$D$5:$D$103,"High")</f>
        <v>3</v>
      </c>
      <c r="D11">
        <f>COUNTIFS('SEO Location Plan'!$B$5:$B$103,A11,'SEO Location Plan'!$D$5:$D$103,"Medium")</f>
        <v>4</v>
      </c>
    </row>
    <row r="12" ht="22" customHeight="1">
      <c r="A12" t="s">
        <v>171</v>
      </c>
      <c r="B12">
        <f>COUNTIF('SEO Location Plan'!$B$5:$B$103,A12)</f>
        <v>7</v>
      </c>
      <c r="C12">
        <f>COUNTIFS('SEO Location Plan'!$B$5:$B$103,A12,'SEO Location Plan'!$D$5:$D$103,"High")</f>
        <v>3</v>
      </c>
      <c r="D12">
        <f>COUNTIFS('SEO Location Plan'!$B$5:$B$103,A12,'SEO Location Plan'!$D$5:$D$103,"Medium")</f>
        <v>4</v>
      </c>
    </row>
    <row r="13" ht="22" customHeight="1">
      <c r="A13" t="s">
        <v>199</v>
      </c>
      <c r="B13">
        <f>COUNTIF('SEO Location Plan'!$B$5:$B$103,A13)</f>
        <v>8</v>
      </c>
      <c r="C13">
        <f>COUNTIFS('SEO Location Plan'!$B$5:$B$103,A13,'SEO Location Plan'!$D$5:$D$103,"High")</f>
        <v>4</v>
      </c>
      <c r="D13">
        <f>COUNTIFS('SEO Location Plan'!$B$5:$B$103,A13,'SEO Location Plan'!$D$5:$D$103,"Medium")</f>
        <v>4</v>
      </c>
    </row>
    <row r="14" ht="22" customHeight="1">
      <c r="A14" t="s">
        <v>232</v>
      </c>
      <c r="B14">
        <f>COUNTIF('SEO Location Plan'!$B$5:$B$103,A14)</f>
        <v>6</v>
      </c>
      <c r="C14">
        <f>COUNTIFS('SEO Location Plan'!$B$5:$B$103,A14,'SEO Location Plan'!$D$5:$D$103,"High")</f>
        <v>4</v>
      </c>
      <c r="D14">
        <f>COUNTIFS('SEO Location Plan'!$B$5:$B$103,A14,'SEO Location Plan'!$D$5:$D$103,"Medium")</f>
        <v>2</v>
      </c>
    </row>
    <row r="15" ht="22" customHeight="1">
      <c r="A15" t="s">
        <v>256</v>
      </c>
      <c r="B15">
        <f>COUNTIF('SEO Location Plan'!$B$5:$B$103,A15)</f>
        <v>8</v>
      </c>
      <c r="C15">
        <f>COUNTIFS('SEO Location Plan'!$B$5:$B$103,A15,'SEO Location Plan'!$D$5:$D$103,"High")</f>
        <v>4</v>
      </c>
      <c r="D15">
        <f>COUNTIFS('SEO Location Plan'!$B$5:$B$103,A15,'SEO Location Plan'!$D$5:$D$103,"Medium")</f>
        <v>4</v>
      </c>
    </row>
    <row r="16" ht="22" customHeight="1">
      <c r="A16" t="s">
        <v>289</v>
      </c>
      <c r="B16">
        <f>COUNTIF('SEO Location Plan'!$B$5:$B$103,A16)</f>
        <v>8</v>
      </c>
      <c r="C16">
        <f>COUNTIFS('SEO Location Plan'!$B$5:$B$103,A16,'SEO Location Plan'!$D$5:$D$103,"High")</f>
        <v>4</v>
      </c>
      <c r="D16">
        <f>COUNTIFS('SEO Location Plan'!$B$5:$B$103,A16,'SEO Location Plan'!$D$5:$D$103,"Medium")</f>
        <v>4</v>
      </c>
    </row>
    <row r="17" ht="22" customHeight="1">
      <c r="A17" t="s">
        <v>321</v>
      </c>
      <c r="B17">
        <f>COUNTIF('SEO Location Plan'!$B$5:$B$103,A17)</f>
        <v>7</v>
      </c>
      <c r="C17">
        <f>COUNTIFS('SEO Location Plan'!$B$5:$B$103,A17,'SEO Location Plan'!$D$5:$D$103,"High")</f>
        <v>4</v>
      </c>
      <c r="D17">
        <f>COUNTIFS('SEO Location Plan'!$B$5:$B$103,A17,'SEO Location Plan'!$D$5:$D$103,"Medium")</f>
        <v>3</v>
      </c>
    </row>
    <row r="18" ht="22" customHeight="1">
      <c r="A18" t="s">
        <v>349</v>
      </c>
      <c r="B18">
        <f>COUNTIF('SEO Location Plan'!$B$5:$B$103,A18)</f>
        <v>8</v>
      </c>
      <c r="C18">
        <f>COUNTIFS('SEO Location Plan'!$B$5:$B$103,A18,'SEO Location Plan'!$D$5:$D$103,"High")</f>
        <v>5</v>
      </c>
      <c r="D18">
        <f>COUNTIFS('SEO Location Plan'!$B$5:$B$103,A18,'SEO Location Plan'!$D$5:$D$103,"Medium")</f>
        <v>3</v>
      </c>
    </row>
    <row r="19" ht="22" customHeight="1">
      <c r="A19" t="s">
        <v>382</v>
      </c>
      <c r="B19">
        <f>COUNTIF('SEO Location Plan'!$B$5:$B$103,A19)</f>
        <v>8</v>
      </c>
      <c r="C19">
        <f>COUNTIFS('SEO Location Plan'!$B$5:$B$103,A19,'SEO Location Plan'!$D$5:$D$103,"High")</f>
        <v>4</v>
      </c>
      <c r="D19">
        <f>COUNTIFS('SEO Location Plan'!$B$5:$B$103,A19,'SEO Location Plan'!$D$5:$D$103,"Medium")</f>
        <v>4</v>
      </c>
    </row>
    <row r="20">
      <c r="A20" s="10" t="s">
        <v>420</v>
      </c>
      <c r="B20" s="10">
        <f>SUM(B7:B19)</f>
        <v>99</v>
      </c>
      <c r="C20" s="10">
        <f>SUM(C7:C19)</f>
        <v>58</v>
      </c>
      <c r="D20" s="10">
        <f>SUM(D7:D19)</f>
        <v>41</v>
      </c>
    </row>
  </sheetData>
  <mergeCells count="1">
    <mergeCell ref="A1:N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4"/>
    <col customWidth="1" min="2" max="2" width="85"/>
  </cols>
  <sheetData>
    <row r="1" ht="30" customHeight="1">
      <c r="A1" s="1" t="s">
        <v>421</v>
      </c>
      <c r="B1" s="1"/>
      <c r="C1" s="1"/>
      <c r="D1" s="1"/>
      <c r="E1" s="1"/>
      <c r="F1" s="1"/>
    </row>
    <row r="3" ht="42" customHeight="1">
      <c r="A3" s="3" t="s">
        <v>422</v>
      </c>
      <c r="B3" s="3" t="s">
        <v>423</v>
      </c>
    </row>
    <row r="4" ht="42" customHeight="1">
      <c r="A4" s="11" t="s">
        <v>417</v>
      </c>
      <c r="B4" s="12" t="s">
        <v>424</v>
      </c>
    </row>
    <row r="5" ht="42" customHeight="1">
      <c r="A5" s="11" t="s">
        <v>418</v>
      </c>
      <c r="B5" s="12" t="s">
        <v>425</v>
      </c>
    </row>
    <row r="6" ht="42" customHeight="1">
      <c r="A6" s="11" t="s">
        <v>426</v>
      </c>
      <c r="B6" s="12" t="s">
        <v>427</v>
      </c>
    </row>
    <row r="7" ht="42" customHeight="1">
      <c r="A7" s="11" t="s">
        <v>428</v>
      </c>
      <c r="B7" s="12" t="s">
        <v>429</v>
      </c>
    </row>
    <row r="8" ht="42" customHeight="1">
      <c r="A8" s="11" t="s">
        <v>8</v>
      </c>
      <c r="B8" s="12" t="s">
        <v>430</v>
      </c>
    </row>
    <row r="9" ht="42" customHeight="1">
      <c r="A9" s="11" t="s">
        <v>431</v>
      </c>
      <c r="B9" s="12" t="s">
        <v>432</v>
      </c>
    </row>
    <row r="10" ht="42" customHeight="1">
      <c r="A10" s="11" t="s">
        <v>433</v>
      </c>
      <c r="B10" s="12" t="s">
        <v>434</v>
      </c>
    </row>
    <row r="11" ht="42" customHeight="1">
      <c r="A11" s="11" t="s">
        <v>435</v>
      </c>
      <c r="B11" s="12" t="s">
        <v>436</v>
      </c>
    </row>
    <row r="12" ht="42" customHeight="1">
      <c r="A12" s="11" t="s">
        <v>437</v>
      </c>
      <c r="B12" s="12" t="s">
        <v>438</v>
      </c>
    </row>
    <row r="13" ht="42" customHeight="1">
      <c r="A13" s="11" t="s">
        <v>439</v>
      </c>
      <c r="B13" s="12" t="s">
        <v>440</v>
      </c>
    </row>
  </sheetData>
  <mergeCells count="1">
    <mergeCell ref="A1:F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